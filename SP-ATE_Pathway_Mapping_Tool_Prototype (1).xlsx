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1 Roles" sheetId="2" state="visible" r:id="rId4"/>
    <sheet name="2 Competency Spine" sheetId="3" state="visible" r:id="rId5"/>
    <sheet name="3 Partner Roles" sheetId="4" state="visible" r:id="rId6"/>
    <sheet name="4 Overlap and Gaps" sheetId="5" state="visible" r:id="rId7"/>
    <sheet name="5 Entry Points" sheetId="6" state="visible" r:id="rId8"/>
    <sheet name="Summary" sheetId="7" state="visible" r:id="rId9"/>
    <sheet name="Source Crosswalk" sheetId="8" state="visible" r:id="rId10"/>
  </sheets>
  <definedNames>
    <definedName function="false" hidden="true" localSheetId="2" name="_xlnm._FilterDatabase" vbProcedure="false">'2 Competency Spine'!$A$5:$T$95</definedName>
    <definedName function="false" hidden="true" localSheetId="4" name="_xlnm._FilterDatabase" vbProcedure="false">'4 Overlap and Gaps'!$A$5:$O$95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<sst xmlns="http://schemas.openxmlformats.org/spreadsheetml/2006/main" count="2366" uniqueCount="1149">
  <si>
    <t xml:space="preserve">Pathway-Mapping Tool  (draft prototype)</t>
  </si>
  <si>
    <t xml:space="preserve">Map industry competencies to education, assign partner roles, find duplication and gaps, and open multiple entry points into technician careers.</t>
  </si>
  <si>
    <t xml:space="preserve">The five steps</t>
  </si>
  <si>
    <t xml:space="preserve">Step</t>
  </si>
  <si>
    <t xml:space="preserve">What you do</t>
  </si>
  <si>
    <t xml:space="preserve">Worksheet</t>
  </si>
  <si>
    <t xml:space="preserve">How</t>
  </si>
  <si>
    <t xml:space="preserve">1</t>
  </si>
  <si>
    <t xml:space="preserve">Define the roles</t>
  </si>
  <si>
    <t xml:space="preserve">1 Roles</t>
  </si>
  <si>
    <t xml:space="preserve">Name the role families employers hire for, with O*NET/CIP codes and day-one, year-one, year-three tasks.</t>
  </si>
  <si>
    <t xml:space="preserve">2</t>
  </si>
  <si>
    <t xml:space="preserve">Map competencies to education</t>
  </si>
  <si>
    <t xml:space="preserve">2 Competency Spine</t>
  </si>
  <si>
    <t xml:space="preserve">One row per competency. Set the depth each role needs (Core / Working / Aware) and where each is taught: high school, community college, university, industry credential, non-credit or apprenticeship.</t>
  </si>
  <si>
    <t xml:space="preserve">3</t>
  </si>
  <si>
    <t xml:space="preserve">Assign partner roles</t>
  </si>
  <si>
    <t xml:space="preserve">3 Partner Roles</t>
  </si>
  <si>
    <t xml:space="preserve">Mark who Leads (L) and who Supports (S) each function. The sheet flags functions with no lead or more than one.</t>
  </si>
  <si>
    <t xml:space="preserve">4</t>
  </si>
  <si>
    <t xml:space="preserve">Find overlaps and gaps</t>
  </si>
  <si>
    <t xml:space="preserve">4 Overlap and Gaps</t>
  </si>
  <si>
    <t xml:space="preserve">Flags are calculated from the spine. For each “Check” row, answer the three questions: same audience, same depth, same credential?</t>
  </si>
  <si>
    <t xml:space="preserve">5</t>
  </si>
  <si>
    <t xml:space="preserve">Open multiple entry points</t>
  </si>
  <si>
    <t xml:space="preserve">5 Entry Points</t>
  </si>
  <si>
    <t xml:space="preserve">List the stops (credentials with job value) and the doors onto them, with how credit connects.</t>
  </si>
  <si>
    <t xml:space="preserve">Then check the Summary sheet for counts of gaps, overlaps, and partner functions without a lead.</t>
  </si>
  <si>
    <t xml:space="preserve">How to read the colors</t>
  </si>
  <si>
    <t xml:space="preserve">Your input</t>
  </si>
  <si>
    <t xml:space="preserve">Calculated from other sheets; don’t type here</t>
  </si>
  <si>
    <t xml:space="preserve">Adapting the tool to another sector</t>
  </si>
  <si>
    <t xml:space="preserve">1.</t>
  </si>
  <si>
    <t xml:space="preserve">Rename the five role families on “1 Roles”; the spine and summary column headers update automatically.</t>
  </si>
  <si>
    <t xml:space="preserve">2.</t>
  </si>
  <si>
    <t xml:space="preserve">Replace the rows on “2 Competency Spine” with your sector’s competencies (keep the column layout). Relabel the “where taught” columns if your layers differ.</t>
  </si>
  <si>
    <t xml:space="preserve">3.</t>
  </si>
  <si>
    <t xml:space="preserve">Keep course codes in one cell per layer, separated by “ / ” (for example, ABC101 / ABC205). The overlap check counts them.</t>
  </si>
  <si>
    <t xml:space="preserve">4.</t>
  </si>
  <si>
    <t xml:space="preserve">Overwrite the Arizona example entries on sheets 3 and 5 with your own partners and doors.</t>
  </si>
  <si>
    <t xml:space="preserve">Source of the starter competency spine</t>
  </si>
  <si>
    <t xml:space="preserve">Seeded from the SciTech Institute Semiconductor Manufacturing Skills Crosswalk (full copy on the “Source Crosswalk” sheet): 6 core, 11 cluster, and 73 pathway competencies across five O*NET role families. Core rows combine the source’s multi-row entries; course codes and standards are carried over as written.</t>
  </si>
  <si>
    <t xml:space="preserve">SP-ATE: Semiconductor Pathways in Arizona’s Technical Education, Rio Salado College. This material is based upon work supported by the National Science Foundation under Grant #2500695. Any opinions, findings, and conclusions or recommendations expressed in this material are those of the author(s) and do not necessarily reflect the views of the National Science Foundation. This project is funded by the Advanced Technological Education program and is supported in part by funds from Intel Corporation under the ETSTE DCL.</t>
  </si>
  <si>
    <t xml:space="preserve">Contact: Rick Vaughn, Ph.D., Rick.Vaughn@riosalado.edu</t>
  </si>
  <si>
    <t xml:space="preserve">Step 1 · Define the roles</t>
  </si>
  <si>
    <t xml:space="preserve">Start from the jobs employers hire for, not from programs. Build each profile from employer job descriptions, high-level certification domains, and industry advisory input.</t>
  </si>
  <si>
    <t xml:space="preserve">Legend:  cream cells = your input  ·  gray cells = calculated (don’t edit)  ·  “Example” rows show the Arizona worked example; overwrite them.</t>
  </si>
  <si>
    <t xml:space="preserve">ID</t>
  </si>
  <si>
    <t xml:space="preserve">Role family (rename to fit your sector)</t>
  </si>
  <si>
    <t xml:space="preserve">O*NET code</t>
  </si>
  <si>
    <t xml:space="preserve">CIP code</t>
  </si>
  <si>
    <t xml:space="preserve">Example job titles</t>
  </si>
  <si>
    <t xml:space="preserve">Day one: what they do</t>
  </si>
  <si>
    <t xml:space="preserve">Year one</t>
  </si>
  <si>
    <t xml:space="preserve">Year three</t>
  </si>
  <si>
    <t xml:space="preserve">Employer job descriptions reviewed?</t>
  </si>
  <si>
    <t xml:space="preserve">Certification domains used?</t>
  </si>
  <si>
    <t xml:space="preserve">Advisory board reviewed?</t>
  </si>
  <si>
    <t xml:space="preserve"># Core competencies (from spine)</t>
  </si>
  <si>
    <t xml:space="preserve">Notes</t>
  </si>
  <si>
    <t xml:space="preserve">R1</t>
  </si>
  <si>
    <t xml:space="preserve">Automation, Controls &amp; Sensor Technologies</t>
  </si>
  <si>
    <t xml:space="preserve">17-3023.00</t>
  </si>
  <si>
    <t xml:space="preserve">47.0105</t>
  </si>
  <si>
    <t xml:space="preserve">R2</t>
  </si>
  <si>
    <t xml:space="preserve">Data, Cybersecurity &amp; Infrastructure</t>
  </si>
  <si>
    <t xml:space="preserve">15-1231.00</t>
  </si>
  <si>
    <t xml:space="preserve">11.1003</t>
  </si>
  <si>
    <t xml:space="preserve">R3</t>
  </si>
  <si>
    <t xml:space="preserve">Equipment &amp; Systems Maintenance</t>
  </si>
  <si>
    <t xml:space="preserve">49-9071.00</t>
  </si>
  <si>
    <t xml:space="preserve">46.0401</t>
  </si>
  <si>
    <t xml:space="preserve">Example: equipment technician</t>
  </si>
  <si>
    <t xml:space="preserve">Example: cleanroom gowning, lockout/tagout, run diagnostics software</t>
  </si>
  <si>
    <t xml:space="preserve">Example: service pneumatic and hydraulic systems; chamber seal leak detection</t>
  </si>
  <si>
    <t xml:space="preserve">Example: vacuum pump overhaul; plasma etch system repair</t>
  </si>
  <si>
    <t xml:space="preserve">Example tasks drawn from this pathway’s crosswalk competencies; confirm with employers.</t>
  </si>
  <si>
    <t xml:space="preserve">R4</t>
  </si>
  <si>
    <t xml:space="preserve">Manufacturing Operations</t>
  </si>
  <si>
    <t xml:space="preserve">51-9141.00</t>
  </si>
  <si>
    <t xml:space="preserve">15.0616</t>
  </si>
  <si>
    <t xml:space="preserve">R5</t>
  </si>
  <si>
    <t xml:space="preserve">Process Engineering &amp; Quality</t>
  </si>
  <si>
    <t xml:space="preserve">17-2199.00</t>
  </si>
  <si>
    <t xml:space="preserve">14.3601</t>
  </si>
  <si>
    <t xml:space="preserve">Step 2 · Map competencies to education</t>
  </si>
  <si>
    <t xml:space="preserve">One competency spine for every offering. Set the depth each role needs, then record where each competency is taught in each layer of the system.</t>
  </si>
  <si>
    <t xml:space="preserve">Competency</t>
  </si>
  <si>
    <t xml:space="preserve">Depth each role needs  (Core / Working / Aware)</t>
  </si>
  <si>
    <t xml:space="preserve">Where it’s taught</t>
  </si>
  <si>
    <t xml:space="preserve">Check</t>
  </si>
  <si>
    <t xml:space="preserve">Tier</t>
  </si>
  <si>
    <t xml:space="preserve">Skill category</t>
  </si>
  <si>
    <t xml:space="preserve">Pathway (role family)</t>
  </si>
  <si>
    <t xml:space="preserve">O*NET</t>
  </si>
  <si>
    <t xml:space="preserve">CIP</t>
  </si>
  <si>
    <t xml:space="preserve">High school: ADE standards</t>
  </si>
  <si>
    <t xml:space="preserve">High school: PLTW</t>
  </si>
  <si>
    <t xml:space="preserve">Community college: MCCCD</t>
  </si>
  <si>
    <t xml:space="preserve">University: UA</t>
  </si>
  <si>
    <t xml:space="preserve">Industry credential: Chip Path</t>
  </si>
  <si>
    <t xml:space="preserve">Non-credit / apprenticeship</t>
  </si>
  <si>
    <t xml:space="preserve"># layers teaching it</t>
  </si>
  <si>
    <t xml:space="preserve">C-01</t>
  </si>
  <si>
    <t xml:space="preserve">Core</t>
  </si>
  <si>
    <t xml:space="preserve">Communication</t>
  </si>
  <si>
    <t xml:space="preserve">Core employability</t>
  </si>
  <si>
    <t xml:space="preserve">All pathways</t>
  </si>
  <si>
    <t xml:space="preserve">7.13; 1.7; 7.5; 7.2; 11.2; 1.8</t>
  </si>
  <si>
    <t xml:space="preserve">PLTW Engineering (EDD, IED); PLTW Biomedical Science (BI); PLTW Gateway (DM)</t>
  </si>
  <si>
    <t xml:space="preserve">MNT140</t>
  </si>
  <si>
    <t xml:space="preserve">CHEE 415 / SIE 465</t>
  </si>
  <si>
    <t xml:space="preserve">CP-101</t>
  </si>
  <si>
    <t xml:space="preserve">C-02</t>
  </si>
  <si>
    <t xml:space="preserve">Collaboration</t>
  </si>
  <si>
    <t xml:space="preserve">2.8</t>
  </si>
  <si>
    <t xml:space="preserve">PLTW Engineering (POE, CIM); PLTW Computer Science (SEC); PLTW Gateway (AR)</t>
  </si>
  <si>
    <t xml:space="preserve">MSE/ECE 447/ SIE 483</t>
  </si>
  <si>
    <t xml:space="preserve">CP-102</t>
  </si>
  <si>
    <t xml:space="preserve">C-03</t>
  </si>
  <si>
    <t xml:space="preserve">Digital Fluency</t>
  </si>
  <si>
    <t xml:space="preserve">7.12; 11.1</t>
  </si>
  <si>
    <t xml:space="preserve">PLTW Engineering (IED, DE, CIM); PLTW Computer Science (CSE, CSA, SEC); PLTW Gateway (AC)</t>
  </si>
  <si>
    <t xml:space="preserve">AIT132</t>
  </si>
  <si>
    <t xml:space="preserve">ECE 407/SIE 483/MSE 480</t>
  </si>
  <si>
    <t xml:space="preserve">CP-103</t>
  </si>
  <si>
    <t xml:space="preserve">C-04</t>
  </si>
  <si>
    <t xml:space="preserve">Critical Thinking &amp; Problem Solving</t>
  </si>
  <si>
    <t xml:space="preserve">7.1; 8.3; 5.12; 2.5; 9.5/9.6</t>
  </si>
  <si>
    <t xml:space="preserve">PLTW Engineering (IED, POE, EDD); PLTW Biomedical Science (PBS, MI); PLTW Gateway (MD)</t>
  </si>
  <si>
    <t xml:space="preserve">MSE/ECE 447/547</t>
  </si>
  <si>
    <t xml:space="preserve">CP-104</t>
  </si>
  <si>
    <t xml:space="preserve">C-05</t>
  </si>
  <si>
    <t xml:space="preserve">Numeracy</t>
  </si>
  <si>
    <t xml:space="preserve">7.4</t>
  </si>
  <si>
    <t xml:space="preserve">PLTW Engineering (POE, DE, IED); PLTW Biomedical Science (HBS, MI); PLTW Computer Science (CSA)</t>
  </si>
  <si>
    <t xml:space="preserve">MNT235</t>
  </si>
  <si>
    <t xml:space="preserve">SIE 305/SIE 430</t>
  </si>
  <si>
    <t xml:space="preserve">CP-105</t>
  </si>
  <si>
    <t xml:space="preserve">C-06</t>
  </si>
  <si>
    <t xml:space="preserve">Reading &amp; Writing</t>
  </si>
  <si>
    <t xml:space="preserve">11.6/11.7; 2.8</t>
  </si>
  <si>
    <t xml:space="preserve">PLTW Engineering (All, esp. EDD, IED); PLTW Biomedical Science (PBS, BI); PLTW Computer Science (SEC)</t>
  </si>
  <si>
    <t xml:space="preserve">ENG101</t>
  </si>
  <si>
    <t xml:space="preserve">CHEE 415</t>
  </si>
  <si>
    <t xml:space="preserve">CP-106</t>
  </si>
  <si>
    <t xml:space="preserve">K-01</t>
  </si>
  <si>
    <t xml:space="preserve">Cluster</t>
  </si>
  <si>
    <t xml:space="preserve">Interpret basic electrical &amp; circuit concepts &amp; diagrams</t>
  </si>
  <si>
    <t xml:space="preserve">Technical Foundations</t>
  </si>
  <si>
    <t xml:space="preserve">6.1-6.4; 7.2</t>
  </si>
  <si>
    <t xml:space="preserve">PLTW Engineering (DE, POE)</t>
  </si>
  <si>
    <t xml:space="preserve">ECE 220</t>
  </si>
  <si>
    <t xml:space="preserve">CP-101 / ELC-101</t>
  </si>
  <si>
    <t xml:space="preserve">K-02</t>
  </si>
  <si>
    <t xml:space="preserve">Use AI and ML tools to optimize manufacturing</t>
  </si>
  <si>
    <t xml:space="preserve">Data, Analysis, &amp; Digital Tools</t>
  </si>
  <si>
    <t xml:space="preserve">7.9</t>
  </si>
  <si>
    <t xml:space="preserve">PLTW Computer Science (CSE, CSA)</t>
  </si>
  <si>
    <t xml:space="preserve">AIM230</t>
  </si>
  <si>
    <t xml:space="preserve">SIE 574</t>
  </si>
  <si>
    <t xml:space="preserve">CP-103 / DAT-110</t>
  </si>
  <si>
    <t xml:space="preserve">K-03</t>
  </si>
  <si>
    <t xml:space="preserve">Use SPC charts and data tools to monitor processes</t>
  </si>
  <si>
    <t xml:space="preserve">7.1; 9.7</t>
  </si>
  <si>
    <t xml:space="preserve">PLTW Engineering (IED, CIM)</t>
  </si>
  <si>
    <t xml:space="preserve">MNT108</t>
  </si>
  <si>
    <t xml:space="preserve">SIE 540</t>
  </si>
  <si>
    <t xml:space="preserve">CP-103 / GTC-108</t>
  </si>
  <si>
    <t xml:space="preserve">K-04</t>
  </si>
  <si>
    <t xml:space="preserve">Recognize &amp; respond to physical security &amp; cybersecurity risks</t>
  </si>
  <si>
    <t xml:space="preserve">Safety, Security &amp; Compliance</t>
  </si>
  <si>
    <t xml:space="preserve">Standard 11.0</t>
  </si>
  <si>
    <t xml:space="preserve">PLTW Computer Science (SEC)</t>
  </si>
  <si>
    <t xml:space="preserve">CIS270 / ITS110</t>
  </si>
  <si>
    <t xml:space="preserve">ECE 578</t>
  </si>
  <si>
    <t xml:space="preserve">CP-101 / CIS-110</t>
  </si>
  <si>
    <t xml:space="preserve">K-05</t>
  </si>
  <si>
    <t xml:space="preserve">Follow OSHA, COHE, &amp; cleanroom safety protocols</t>
  </si>
  <si>
    <t xml:space="preserve">2.1; 2.8</t>
  </si>
  <si>
    <t xml:space="preserve">PLTW Engineering (CIM, POE)</t>
  </si>
  <si>
    <t xml:space="preserve">MNT201</t>
  </si>
  <si>
    <t xml:space="preserve">MSE / ECE / CHEE 515:</t>
  </si>
  <si>
    <t xml:space="preserve">CP-101 / AIT-101</t>
  </si>
  <si>
    <t xml:space="preserve">K-06</t>
  </si>
  <si>
    <t xml:space="preserve">Diagnose issues in semiconductor tools &amp; systems</t>
  </si>
  <si>
    <t xml:space="preserve">Equipment, Systems &amp; Automation</t>
  </si>
  <si>
    <t xml:space="preserve">5.12; 6.8-6.10</t>
  </si>
  <si>
    <t xml:space="preserve">PLTW Engineering (POE, DE, CIM)</t>
  </si>
  <si>
    <t xml:space="preserve">MSE / ECE 547L:</t>
  </si>
  <si>
    <t xml:space="preserve">CP-104 / AIT-215</t>
  </si>
  <si>
    <t xml:space="preserve">K-07</t>
  </si>
  <si>
    <t xml:space="preserve">Operate automated tools &amp; robotics</t>
  </si>
  <si>
    <t xml:space="preserve">7.11; 2.5</t>
  </si>
  <si>
    <t xml:space="preserve">AIT270</t>
  </si>
  <si>
    <t xml:space="preserve">SIE 454 / 554</t>
  </si>
  <si>
    <t xml:space="preserve">CP-102 / AIT-220</t>
  </si>
  <si>
    <t xml:space="preserve">K-08</t>
  </si>
  <si>
    <t xml:space="preserve">Apply QA/QC procedures in production</t>
  </si>
  <si>
    <t xml:space="preserve">Manufacturing Processes &amp; Quality</t>
  </si>
  <si>
    <t xml:space="preserve">3.6-3.7</t>
  </si>
  <si>
    <t xml:space="preserve">SIE 506</t>
  </si>
  <si>
    <t xml:space="preserve">CP-103 / MET-210</t>
  </si>
  <si>
    <t xml:space="preserve">K-09</t>
  </si>
  <si>
    <t xml:space="preserve">Monitor yield &amp; identify factors affecting output</t>
  </si>
  <si>
    <t xml:space="preserve">3.4</t>
  </si>
  <si>
    <t xml:space="preserve">PLTW Engineering (CIM, EDD)</t>
  </si>
  <si>
    <t xml:space="preserve">MSE / ECE 546</t>
  </si>
  <si>
    <t xml:space="preserve">CP-103 / SMI-101</t>
  </si>
  <si>
    <t xml:space="preserve">K-10</t>
  </si>
  <si>
    <t xml:space="preserve">Monitor Basic Process Parameters</t>
  </si>
  <si>
    <t xml:space="preserve">Cross-Cutting</t>
  </si>
  <si>
    <t xml:space="preserve">7.1; 8.6-8.7</t>
  </si>
  <si>
    <t xml:space="preserve">MNT115</t>
  </si>
  <si>
    <t xml:space="preserve">MSE 546</t>
  </si>
  <si>
    <t xml:space="preserve">CP-102 / SMI-101</t>
  </si>
  <si>
    <t xml:space="preserve">K-11</t>
  </si>
  <si>
    <t xml:space="preserve">Maintain cleanroom gowning &amp; housekeeping</t>
  </si>
  <si>
    <t xml:space="preserve">PLTW Biomedical Science (PBS, MI)</t>
  </si>
  <si>
    <t xml:space="preserve">FASTLab Training: Cleanroom Operations &amp; Protocols</t>
  </si>
  <si>
    <t xml:space="preserve">AUT-01</t>
  </si>
  <si>
    <t xml:space="preserve">Pathway</t>
  </si>
  <si>
    <t xml:space="preserve">Apply control systems concepts</t>
  </si>
  <si>
    <t xml:space="preserve">Standard 8.0; Standard 10.0</t>
  </si>
  <si>
    <t xml:space="preserve">AIT215</t>
  </si>
  <si>
    <t xml:space="preserve">ECE 441A / AME 455</t>
  </si>
  <si>
    <t xml:space="preserve">CP-102 / AIT-125</t>
  </si>
  <si>
    <t xml:space="preserve">AUT-02</t>
  </si>
  <si>
    <t xml:space="preserve">Interpret PLC &amp; sensor logic</t>
  </si>
  <si>
    <t xml:space="preserve">10.1-10.5; Standard 8.0</t>
  </si>
  <si>
    <t xml:space="preserve">AIT210</t>
  </si>
  <si>
    <t xml:space="preserve">CYBV 330</t>
  </si>
  <si>
    <t xml:space="preserve">AUT-03</t>
  </si>
  <si>
    <t xml:space="preserve">Apply basic scripting for automation tasks</t>
  </si>
  <si>
    <t xml:space="preserve">7.12</t>
  </si>
  <si>
    <t xml:space="preserve">CIS156</t>
  </si>
  <si>
    <t xml:space="preserve">ECE 101 / ECE 201</t>
  </si>
  <si>
    <t xml:space="preserve">AUT-04</t>
  </si>
  <si>
    <t xml:space="preserve">Validate failsafe shutdown behaviors</t>
  </si>
  <si>
    <t xml:space="preserve">2.6</t>
  </si>
  <si>
    <t xml:space="preserve">AIT100</t>
  </si>
  <si>
    <t xml:space="preserve">CYBV 330 / AME 463</t>
  </si>
  <si>
    <t xml:space="preserve">AUT-05</t>
  </si>
  <si>
    <t xml:space="preserve">Implement machine safeguarding &amp; interlocks</t>
  </si>
  <si>
    <t xml:space="preserve">2.2; 2.5</t>
  </si>
  <si>
    <t xml:space="preserve">MNE 426 / CYBV 330</t>
  </si>
  <si>
    <t xml:space="preserve">AUT-06</t>
  </si>
  <si>
    <t xml:space="preserve">Integrate robots</t>
  </si>
  <si>
    <t xml:space="preserve">7.11</t>
  </si>
  <si>
    <t xml:space="preserve">AME 551</t>
  </si>
  <si>
    <t xml:space="preserve">AUT-07</t>
  </si>
  <si>
    <t xml:space="preserve">Configure PLC I/O modules</t>
  </si>
  <si>
    <t xml:space="preserve">10.2; 10.5</t>
  </si>
  <si>
    <t xml:space="preserve">CYBV 330 / ECE 372A</t>
  </si>
  <si>
    <t xml:space="preserve">AUT-08</t>
  </si>
  <si>
    <t xml:space="preserve">Validate sensor-based control performance</t>
  </si>
  <si>
    <t xml:space="preserve">8.6-8.7</t>
  </si>
  <si>
    <t xml:space="preserve">ECE 442</t>
  </si>
  <si>
    <t xml:space="preserve">AUT-09</t>
  </si>
  <si>
    <t xml:space="preserve">Control loop theory</t>
  </si>
  <si>
    <t xml:space="preserve">ELC210 / MET220</t>
  </si>
  <si>
    <t xml:space="preserve">ECE 441A</t>
  </si>
  <si>
    <t xml:space="preserve">AUT-10</t>
  </si>
  <si>
    <t xml:space="preserve">Sensor calibration principles</t>
  </si>
  <si>
    <t xml:space="preserve">MSE / ECE 547L</t>
  </si>
  <si>
    <t xml:space="preserve">CP-104 / MET-210</t>
  </si>
  <si>
    <t xml:space="preserve">AUT-11</t>
  </si>
  <si>
    <t xml:space="preserve">SCADA alarm analytics</t>
  </si>
  <si>
    <t xml:space="preserve">CYBV 330 / SIE 506</t>
  </si>
  <si>
    <t xml:space="preserve">AUT-12</t>
  </si>
  <si>
    <t xml:space="preserve">HMI telemetry visualization</t>
  </si>
  <si>
    <t xml:space="preserve">AUT-13</t>
  </si>
  <si>
    <t xml:space="preserve">ISO 13849 safety circuit validation</t>
  </si>
  <si>
    <t xml:space="preserve">MET220 / ELC210</t>
  </si>
  <si>
    <t xml:space="preserve">SIE 508 / CYBV 330</t>
  </si>
  <si>
    <t xml:space="preserve">AUT-14</t>
  </si>
  <si>
    <t xml:space="preserve">Fail-safe interlock testing</t>
  </si>
  <si>
    <t xml:space="preserve">CYBV 330 / SIE 508</t>
  </si>
  <si>
    <t xml:space="preserve">AUT-15</t>
  </si>
  <si>
    <t xml:space="preserve">SCADA system programming</t>
  </si>
  <si>
    <t xml:space="preserve">AUT-16</t>
  </si>
  <si>
    <t xml:space="preserve">Programmable logic controller integration</t>
  </si>
  <si>
    <t xml:space="preserve">ELC210</t>
  </si>
  <si>
    <t xml:space="preserve">AUT-17</t>
  </si>
  <si>
    <t xml:space="preserve">PLC program modification</t>
  </si>
  <si>
    <t xml:space="preserve">AUT-18</t>
  </si>
  <si>
    <t xml:space="preserve">Sensor error diagnostics</t>
  </si>
  <si>
    <t xml:space="preserve">ECE 372A / SIE 508</t>
  </si>
  <si>
    <t xml:space="preserve">DAT-01</t>
  </si>
  <si>
    <t xml:space="preserve">Apply AAA &amp; CIA frameworks</t>
  </si>
  <si>
    <t xml:space="preserve">11.2; 11.3</t>
  </si>
  <si>
    <t xml:space="preserve">ITS110</t>
  </si>
  <si>
    <t xml:space="preserve">ECE 509 / CYBV 301</t>
  </si>
  <si>
    <t xml:space="preserve">DAT-02</t>
  </si>
  <si>
    <t xml:space="preserve">Configure access controls on systems</t>
  </si>
  <si>
    <t xml:space="preserve">11.2</t>
  </si>
  <si>
    <t xml:space="preserve">ITS120</t>
  </si>
  <si>
    <t xml:space="preserve">ECE 524 / CYBV 326</t>
  </si>
  <si>
    <t xml:space="preserve">DAT-03</t>
  </si>
  <si>
    <t xml:space="preserve">Support quality audits</t>
  </si>
  <si>
    <t xml:space="preserve">9.8</t>
  </si>
  <si>
    <t xml:space="preserve">SIE 567 / SIE 530</t>
  </si>
  <si>
    <t xml:space="preserve">DAT-04</t>
  </si>
  <si>
    <t xml:space="preserve">Monitor data integrity</t>
  </si>
  <si>
    <t xml:space="preserve">11.3</t>
  </si>
  <si>
    <t xml:space="preserve">SFWE 501 / ECE 519</t>
  </si>
  <si>
    <t xml:space="preserve">DAT-05</t>
  </si>
  <si>
    <t xml:space="preserve">Database design principles</t>
  </si>
  <si>
    <t xml:space="preserve">CIS105 / BPC110</t>
  </si>
  <si>
    <t xml:space="preserve">MIS 502 / MIS 531</t>
  </si>
  <si>
    <t xml:space="preserve">DAT-06</t>
  </si>
  <si>
    <t xml:space="preserve">OT cybersecurity threat hunting</t>
  </si>
  <si>
    <t xml:space="preserve">CIS114DE / ITS110</t>
  </si>
  <si>
    <t xml:space="preserve">ECE 571 / CYBV 435</t>
  </si>
  <si>
    <t xml:space="preserve">CP-101 / CIS-190</t>
  </si>
  <si>
    <t xml:space="preserve">DAT-07</t>
  </si>
  <si>
    <t xml:space="preserve">Fab database SQL querying</t>
  </si>
  <si>
    <t xml:space="preserve">MIS 502 / ISTA 322</t>
  </si>
  <si>
    <t xml:space="preserve">DAT-08</t>
  </si>
  <si>
    <t xml:space="preserve">Fab cyber threat monitoring</t>
  </si>
  <si>
    <t xml:space="preserve">ECE 519 / SFWE 502</t>
  </si>
  <si>
    <t xml:space="preserve">DAT-09</t>
  </si>
  <si>
    <t xml:space="preserve">Securing legacy equipment endpoints</t>
  </si>
  <si>
    <t xml:space="preserve">ECE 576B / CYBV 470</t>
  </si>
  <si>
    <t xml:space="preserve">DAT-10</t>
  </si>
  <si>
    <t xml:space="preserve">Edge computing deployment</t>
  </si>
  <si>
    <t xml:space="preserve">ECE 513 / ECE 569</t>
  </si>
  <si>
    <t xml:space="preserve">DAT-11</t>
  </si>
  <si>
    <t xml:space="preserve">MES server integration</t>
  </si>
  <si>
    <t xml:space="preserve">SIE 554A / ECE 573</t>
  </si>
  <si>
    <t xml:space="preserve">DAT-12</t>
  </si>
  <si>
    <t xml:space="preserve">Data pipeline monitoring</t>
  </si>
  <si>
    <t xml:space="preserve">CIS122 / BPC110</t>
  </si>
  <si>
    <t xml:space="preserve">ECE 523 / MIS 545</t>
  </si>
  <si>
    <t xml:space="preserve">DAT-13</t>
  </si>
  <si>
    <t xml:space="preserve">Process telemetry analysis</t>
  </si>
  <si>
    <t xml:space="preserve">DAT110 / MET210</t>
  </si>
  <si>
    <t xml:space="preserve">ECE 546 / ECE 517</t>
  </si>
  <si>
    <t xml:space="preserve">DAT-14</t>
  </si>
  <si>
    <t xml:space="preserve">OT network topology</t>
  </si>
  <si>
    <t xml:space="preserve">ECE 578 / ECE 512</t>
  </si>
  <si>
    <t xml:space="preserve">EQP-01</t>
  </si>
  <si>
    <t xml:space="preserve">Use diagnostics software</t>
  </si>
  <si>
    <t xml:space="preserve">ECE 446 / MSE 446</t>
  </si>
  <si>
    <t xml:space="preserve">EQP-02</t>
  </si>
  <si>
    <t xml:space="preserve">Apply LOTO on equipment</t>
  </si>
  <si>
    <t xml:space="preserve">2.1</t>
  </si>
  <si>
    <t xml:space="preserve">MSE 447L / ECE 547L</t>
  </si>
  <si>
    <t xml:space="preserve">EQP-03</t>
  </si>
  <si>
    <t xml:space="preserve">Service pneumatic &amp; hydraulic systems</t>
  </si>
  <si>
    <t xml:space="preserve">Standard 5.0</t>
  </si>
  <si>
    <t xml:space="preserve">AIT115 / AIT120</t>
  </si>
  <si>
    <t xml:space="preserve">AME 455</t>
  </si>
  <si>
    <t xml:space="preserve">CP-102 / AIT-120</t>
  </si>
  <si>
    <t xml:space="preserve">EQP-04</t>
  </si>
  <si>
    <t xml:space="preserve">Mechanical drive troubleshooting</t>
  </si>
  <si>
    <t xml:space="preserve">MET150 / MET215</t>
  </si>
  <si>
    <t xml:space="preserve">AME 352</t>
  </si>
  <si>
    <t xml:space="preserve">EQP-05</t>
  </si>
  <si>
    <t xml:space="preserve">Vacuum pressure physics</t>
  </si>
  <si>
    <t xml:space="preserve">SEM101 / MET215</t>
  </si>
  <si>
    <t xml:space="preserve">MSE 437 / CHEE 437</t>
  </si>
  <si>
    <t xml:space="preserve">CP-104 / SMI-101</t>
  </si>
  <si>
    <t xml:space="preserve">EQP-06</t>
  </si>
  <si>
    <t xml:space="preserve">Sensor diagnostic log interpretation</t>
  </si>
  <si>
    <t xml:space="preserve">MET215 / ELE211</t>
  </si>
  <si>
    <t xml:space="preserve">ECE 415 / CHEE 415</t>
  </si>
  <si>
    <t xml:space="preserve">EQP-07</t>
  </si>
  <si>
    <t xml:space="preserve">Predictive maintenance software</t>
  </si>
  <si>
    <t xml:space="preserve">MET215 / MET210</t>
  </si>
  <si>
    <t xml:space="preserve">SIE 431 / ECE 431</t>
  </si>
  <si>
    <t xml:space="preserve">EQP-08</t>
  </si>
  <si>
    <t xml:space="preserve">Chemical delivery system safety</t>
  </si>
  <si>
    <t xml:space="preserve">SEM101 / MET101</t>
  </si>
  <si>
    <t xml:space="preserve">CHEE 515 / MSE 515</t>
  </si>
  <si>
    <t xml:space="preserve">CP-101 / EHS-105</t>
  </si>
  <si>
    <t xml:space="preserve">EQP-09</t>
  </si>
  <si>
    <t xml:space="preserve">High-voltage isolation protocol</t>
  </si>
  <si>
    <t xml:space="preserve">ELC115 / MET101</t>
  </si>
  <si>
    <t xml:space="preserve">ECE 351C</t>
  </si>
  <si>
    <t xml:space="preserve">EQP-10</t>
  </si>
  <si>
    <t xml:space="preserve">Plasma etch system repair</t>
  </si>
  <si>
    <t xml:space="preserve">SEM201 / MET215</t>
  </si>
  <si>
    <t xml:space="preserve">MSE 447L / ECE 447L</t>
  </si>
  <si>
    <t xml:space="preserve">EQP-11</t>
  </si>
  <si>
    <t xml:space="preserve">Robotic arm calibration</t>
  </si>
  <si>
    <t xml:space="preserve">MET180 / MET220</t>
  </si>
  <si>
    <t xml:space="preserve">AME 463 / ECE 463</t>
  </si>
  <si>
    <t xml:space="preserve">EQP-12</t>
  </si>
  <si>
    <t xml:space="preserve">Vacuum pump overhaul</t>
  </si>
  <si>
    <t xml:space="preserve">MET215</t>
  </si>
  <si>
    <t xml:space="preserve">EQP-13</t>
  </si>
  <si>
    <t xml:space="preserve">Chamber seal leak detection</t>
  </si>
  <si>
    <t xml:space="preserve">MET215 / SEM201</t>
  </si>
  <si>
    <t xml:space="preserve">MFG-01</t>
  </si>
  <si>
    <t xml:space="preserve">Use basic materials science concepts</t>
  </si>
  <si>
    <t xml:space="preserve">1.7; 3.1</t>
  </si>
  <si>
    <t xml:space="preserve">MNT225</t>
  </si>
  <si>
    <t xml:space="preserve">MSE 240 / MSE 331R</t>
  </si>
  <si>
    <t xml:space="preserve">CP-101 / SMI-101</t>
  </si>
  <si>
    <t xml:space="preserve">MFG-02</t>
  </si>
  <si>
    <t xml:space="preserve">Follow wafer flow steps</t>
  </si>
  <si>
    <t xml:space="preserve">4.4</t>
  </si>
  <si>
    <t xml:space="preserve">MNT116</t>
  </si>
  <si>
    <t xml:space="preserve">ECE / MSE 546</t>
  </si>
  <si>
    <t xml:space="preserve">MFG-03</t>
  </si>
  <si>
    <t xml:space="preserve">Semiconductor Manufacturing</t>
  </si>
  <si>
    <t xml:space="preserve">MFG-04</t>
  </si>
  <si>
    <t xml:space="preserve">Wafer inspection techniques</t>
  </si>
  <si>
    <t xml:space="preserve">SEM101 / SEM110</t>
  </si>
  <si>
    <t xml:space="preserve">MSE / ECE 580</t>
  </si>
  <si>
    <t xml:space="preserve">MFG-05</t>
  </si>
  <si>
    <t xml:space="preserve">Cleanroom protocol adherence</t>
  </si>
  <si>
    <t xml:space="preserve">SEM101</t>
  </si>
  <si>
    <t xml:space="preserve">MSE / ECE 547 (FASTLab Protocol)</t>
  </si>
  <si>
    <t xml:space="preserve">MFG-06</t>
  </si>
  <si>
    <t xml:space="preserve">Manufacturing execution system logging</t>
  </si>
  <si>
    <t xml:space="preserve">SEM101 / BPC110</t>
  </si>
  <si>
    <t xml:space="preserve">SIE 462 / SIE 562</t>
  </si>
  <si>
    <t xml:space="preserve">MFG-07</t>
  </si>
  <si>
    <t xml:space="preserve">Equipment run log parsing</t>
  </si>
  <si>
    <t xml:space="preserve">ECE 479 / SIE 410A</t>
  </si>
  <si>
    <t xml:space="preserve">MFG-08</t>
  </si>
  <si>
    <t xml:space="preserve">Pyrophoric gas safety</t>
  </si>
  <si>
    <t xml:space="preserve">CHE / MSE 412 (or EHS Safety Modules)</t>
  </si>
  <si>
    <t xml:space="preserve">MFG-09</t>
  </si>
  <si>
    <t xml:space="preserve">Lockout/tagout execution</t>
  </si>
  <si>
    <t xml:space="preserve">ENGR 495A / EHS Tool Safety</t>
  </si>
  <si>
    <t xml:space="preserve">MFG-10</t>
  </si>
  <si>
    <t xml:space="preserve">Automated material handling system operation</t>
  </si>
  <si>
    <t xml:space="preserve">SIE 482 / SIE 582</t>
  </si>
  <si>
    <t xml:space="preserve">MFG-11</t>
  </si>
  <si>
    <t xml:space="preserve">FOUP loading and unloading</t>
  </si>
  <si>
    <t xml:space="preserve">SEM101 / MET180</t>
  </si>
  <si>
    <t xml:space="preserve">MSE / ECE 547</t>
  </si>
  <si>
    <t xml:space="preserve">MFG-12</t>
  </si>
  <si>
    <t xml:space="preserve">Photolithography execution</t>
  </si>
  <si>
    <t xml:space="preserve">SEM110</t>
  </si>
  <si>
    <t xml:space="preserve">ECE / MSE 546 (Lab: MSE 547)</t>
  </si>
  <si>
    <t xml:space="preserve">MFG-13</t>
  </si>
  <si>
    <t xml:space="preserve">Chemical mechanical planarization</t>
  </si>
  <si>
    <t xml:space="preserve">SEM110 / SEM210</t>
  </si>
  <si>
    <t xml:space="preserve">PEQ-01</t>
  </si>
  <si>
    <t xml:space="preserve">Apply semiconductor device physics</t>
  </si>
  <si>
    <t xml:space="preserve">4.1-4.7; 6.3</t>
  </si>
  <si>
    <t xml:space="preserve">PHYS 561 / ECE 554</t>
  </si>
  <si>
    <t xml:space="preserve">PEQ-02</t>
  </si>
  <si>
    <t xml:space="preserve">Use EDA &amp; yield analysis tools</t>
  </si>
  <si>
    <t xml:space="preserve">7.8; 3.4</t>
  </si>
  <si>
    <t xml:space="preserve">MNT215</t>
  </si>
  <si>
    <t xml:space="preserve">ECE 503C / ECE 506</t>
  </si>
  <si>
    <t xml:space="preserve">PEQ-03</t>
  </si>
  <si>
    <t xml:space="preserve">Perform SP analyses</t>
  </si>
  <si>
    <t xml:space="preserve">9.7</t>
  </si>
  <si>
    <t xml:space="preserve">SIE 530 / SIE 506</t>
  </si>
  <si>
    <t xml:space="preserve">PEQ-04</t>
  </si>
  <si>
    <t xml:space="preserve">Implement process improvement actions</t>
  </si>
  <si>
    <t xml:space="preserve">Standard 9.0</t>
  </si>
  <si>
    <t xml:space="preserve">PEQ-05</t>
  </si>
  <si>
    <t xml:space="preserve">Analyze manufacturing yield data</t>
  </si>
  <si>
    <t xml:space="preserve">3.4; 7.4</t>
  </si>
  <si>
    <t xml:space="preserve">SIE 530 / MSE 546</t>
  </si>
  <si>
    <t xml:space="preserve">PEQ-06</t>
  </si>
  <si>
    <t xml:space="preserve">Material science application</t>
  </si>
  <si>
    <t xml:space="preserve">MET111 / SEM101</t>
  </si>
  <si>
    <t xml:space="preserve">MSE 580 / PHYS 560A</t>
  </si>
  <si>
    <t xml:space="preserve">PEQ-07</t>
  </si>
  <si>
    <t xml:space="preserve">Yield loss mechanics</t>
  </si>
  <si>
    <t xml:space="preserve">PEQ-08</t>
  </si>
  <si>
    <t xml:space="preserve">Python for yield modeling</t>
  </si>
  <si>
    <t xml:space="preserve">CIS122 / DAT110</t>
  </si>
  <si>
    <t xml:space="preserve">ECE 503C / DATA 510</t>
  </si>
  <si>
    <t xml:space="preserve">PEQ-09</t>
  </si>
  <si>
    <t xml:space="preserve">Multivariate process data analysis</t>
  </si>
  <si>
    <t xml:space="preserve">STAT / MATH 571B</t>
  </si>
  <si>
    <t xml:space="preserve">PEQ-10</t>
  </si>
  <si>
    <t xml:space="preserve">EPA chemical waste compliance</t>
  </si>
  <si>
    <t xml:space="preserve">CHEE / MSE 515</t>
  </si>
  <si>
    <t xml:space="preserve">PEQ-11</t>
  </si>
  <si>
    <t xml:space="preserve">Process safety management</t>
  </si>
  <si>
    <t xml:space="preserve">MET101 / GTC108</t>
  </si>
  <si>
    <t xml:space="preserve">PEQ-12</t>
  </si>
  <si>
    <t xml:space="preserve">Thermal deposition tuning</t>
  </si>
  <si>
    <t xml:space="preserve">PEQ-13</t>
  </si>
  <si>
    <t xml:space="preserve">Epitaxy tool characterization</t>
  </si>
  <si>
    <t xml:space="preserve">SEM210</t>
  </si>
  <si>
    <t xml:space="preserve">MSE 580 / MSE 547L</t>
  </si>
  <si>
    <t xml:space="preserve">PEQ-14</t>
  </si>
  <si>
    <t xml:space="preserve">Defect root cause analysis</t>
  </si>
  <si>
    <t xml:space="preserve">GTC108 / MET210</t>
  </si>
  <si>
    <t xml:space="preserve">MSE 580</t>
  </si>
  <si>
    <t xml:space="preserve">PEQ-15</t>
  </si>
  <si>
    <t xml:space="preserve">Design of experiments</t>
  </si>
  <si>
    <t xml:space="preserve">GTC108 / SEM210</t>
  </si>
  <si>
    <t xml:space="preserve">MATH 571B / SIE 530</t>
  </si>
  <si>
    <t xml:space="preserve">Starter defaults: each pathway competency is marked Core for its own role family; all other depth cells are blank for you to set with employers. Add rows below row 95 for new competencies (copy a row to keep the formulas).</t>
  </si>
  <si>
    <t xml:space="preserve">Step 3 · Assign partner roles</t>
  </si>
  <si>
    <t xml:space="preserve">Give every partner a clear lane: one Lead (L) per function, everyone else Supports (S). Rename the partner columns to fit your region.</t>
  </si>
  <si>
    <t xml:space="preserve">Function</t>
  </si>
  <si>
    <t xml:space="preserve">Description</t>
  </si>
  <si>
    <t xml:space="preserve">High schools</t>
  </si>
  <si>
    <t xml:space="preserve">Community colleges</t>
  </si>
  <si>
    <t xml:space="preserve">Universities</t>
  </si>
  <si>
    <t xml:space="preserve">Employers</t>
  </si>
  <si>
    <t xml:space="preserve">Certification bodies</t>
  </si>
  <si>
    <t xml:space="preserve">State &amp; regional</t>
  </si>
  <si>
    <t xml:space="preserve">[Add partner]</t>
  </si>
  <si>
    <t xml:space="preserve"># leads</t>
  </si>
  <si>
    <t xml:space="preserve">Status</t>
  </si>
  <si>
    <t xml:space="preserve">Organizations in your region</t>
  </si>
  <si>
    <t xml:space="preserve">Who fills each column</t>
  </si>
  <si>
    <t xml:space="preserve">Example: Chandler Unified School District</t>
  </si>
  <si>
    <t xml:space="preserve">Example: Rio Salado College, Maricopa district</t>
  </si>
  <si>
    <t xml:space="preserve">Example: NAU, ASU, University of Arizona</t>
  </si>
  <si>
    <t xml:space="preserve">Example: TSMC and advisory employers</t>
  </si>
  <si>
    <t xml:space="preserve">Example: SEMI Foundation, NOCTI</t>
  </si>
  <si>
    <t xml:space="preserve">Example: Arizona Commerce Authority</t>
  </si>
  <si>
    <t xml:space="preserve">Career exposure</t>
  </si>
  <si>
    <t xml:space="preserve">Tours, industry speakers, career awareness for students, parents, counselors</t>
  </si>
  <si>
    <t xml:space="preserve">L</t>
  </si>
  <si>
    <t xml:space="preserve">S</t>
  </si>
  <si>
    <t xml:space="preserve">Dual enrollment</t>
  </si>
  <si>
    <t xml:space="preserve">College credit in high school, using the same industry-endorsed certificate</t>
  </si>
  <si>
    <t xml:space="preserve">Stackable credentials</t>
  </si>
  <si>
    <t xml:space="preserve">Certificates that stack into a degree, each with job value</t>
  </si>
  <si>
    <t xml:space="preserve">Core technician training</t>
  </si>
  <si>
    <t xml:space="preserve">Credit and non-credit technical instruction</t>
  </si>
  <si>
    <t xml:space="preserve">Hands-on lab access</t>
  </si>
  <si>
    <t xml:space="preserve">Cleanroom and tool time beyond college labs</t>
  </si>
  <si>
    <t xml:space="preserve">Articulation and transfer</t>
  </si>
  <si>
    <t xml:space="preserve">Credit transfer to bachelor’s completion</t>
  </si>
  <si>
    <t xml:space="preserve">Job descriptions and advisory input</t>
  </si>
  <si>
    <t xml:space="preserve">Defines roles and competencies; reviews the map</t>
  </si>
  <si>
    <t xml:space="preserve">Apprenticeships</t>
  </si>
  <si>
    <t xml:space="preserve">On-the-job learning with related technical instruction</t>
  </si>
  <si>
    <t xml:space="preserve">Industry certification</t>
  </si>
  <si>
    <t xml:space="preserve">Third-party validation of competencies</t>
  </si>
  <si>
    <t xml:space="preserve">Investment and convening</t>
  </si>
  <si>
    <t xml:space="preserve">Statewide funding, coordination, regional planning</t>
  </si>
  <si>
    <t xml:space="preserve">Example marks show the Arizona worked example. Dual enrollment intentionally has two leads (high school and college) to show the flag; decide whether shared leadership works for you.</t>
  </si>
  <si>
    <t xml:space="preserve">Step 4 · Find overlaps and gaps</t>
  </si>
  <si>
    <t xml:space="preserve">Calculated from the spine. Gaps need an owner. For each “Check” row, answer the three questions: three Yes answers mean duplication to coordinate; otherwise it may be a healthy on-ramp.</t>
  </si>
  <si>
    <t xml:space="preserve">Community college offering(s)</t>
  </si>
  <si>
    <t xml:space="preserve"># CC courses</t>
  </si>
  <si>
    <t xml:space="preserve">High school on-ramp?</t>
  </si>
  <si>
    <t xml:space="preserve">Same audience?</t>
  </si>
  <si>
    <t xml:space="preserve">Same depth?</t>
  </si>
  <si>
    <t xml:space="preserve">Same credential?</t>
  </si>
  <si>
    <t xml:space="preserve">Verdict</t>
  </si>
  <si>
    <t xml:space="preserve">Action (coordinate, build, borrow, keep)</t>
  </si>
  <si>
    <t xml:space="preserve">Owner</t>
  </si>
  <si>
    <t xml:space="preserve">Step 5 · Open multiple entry points</t>
  </si>
  <si>
    <t xml:space="preserve">Many doors onto one pathway. List the stops first (each with job value), then the doors and how credit connects so no learning is wasted.</t>
  </si>
  <si>
    <t xml:space="preserve">Stops on the pathway</t>
  </si>
  <si>
    <t xml:space="preserve">Stop</t>
  </si>
  <si>
    <t xml:space="preserve">Credential</t>
  </si>
  <si>
    <t xml:space="preserve">Job value: roles it qualifies for</t>
  </si>
  <si>
    <t xml:space="preserve">Competency IDs credited (from spine)</t>
  </si>
  <si>
    <t xml:space="preserve">Next stop</t>
  </si>
  <si>
    <t xml:space="preserve">CCL-1</t>
  </si>
  <si>
    <t xml:space="preserve">Entry certificate</t>
  </si>
  <si>
    <t xml:space="preserve">CCL-2</t>
  </si>
  <si>
    <t xml:space="preserve">Advanced certificate</t>
  </si>
  <si>
    <t xml:space="preserve">AAS</t>
  </si>
  <si>
    <t xml:space="preserve">Associate degree</t>
  </si>
  <si>
    <t xml:space="preserve">Bachelor’s</t>
  </si>
  <si>
    <t xml:space="preserve">Bachelor’s completion via NAU articulation</t>
  </si>
  <si>
    <t xml:space="preserve">Doors onto the pathway</t>
  </si>
  <si>
    <t xml:space="preserve">Door</t>
  </si>
  <si>
    <t xml:space="preserve">Who it serves</t>
  </si>
  <si>
    <t xml:space="preserve">Enters at (stop)</t>
  </si>
  <si>
    <t xml:space="preserve">Credit connection</t>
  </si>
  <si>
    <t xml:space="preserve">Offering(s)</t>
  </si>
  <si>
    <t xml:space="preserve">Lead partner</t>
  </si>
  <si>
    <t xml:space="preserve">Example: High school students</t>
  </si>
  <si>
    <t xml:space="preserve">Dual enrollment students</t>
  </si>
  <si>
    <t xml:space="preserve">Same industry-endorsed semiconductor manufacturing certificate</t>
  </si>
  <si>
    <t xml:space="preserve">High school + college</t>
  </si>
  <si>
    <t xml:space="preserve">Example: Adults new to the field</t>
  </si>
  <si>
    <t xml:space="preserve">Students starting from scratch</t>
  </si>
  <si>
    <t xml:space="preserve">Direct enrollment</t>
  </si>
  <si>
    <t xml:space="preserve">Entry certificate, beginning with the industry-overview course</t>
  </si>
  <si>
    <t xml:space="preserve">College</t>
  </si>
  <si>
    <t xml:space="preserve">Example: Apprentices</t>
  </si>
  <si>
    <t xml:space="preserve">Employer-sponsored apprentices</t>
  </si>
  <si>
    <t xml:space="preserve">Apprenticeship RTI crosswalk</t>
  </si>
  <si>
    <t xml:space="preserve">TSMC apprenticeship RTI crosswalk</t>
  </si>
  <si>
    <t xml:space="preserve">Employer + college</t>
  </si>
  <si>
    <t xml:space="preserve">Example: Working adults and career changers</t>
  </si>
  <si>
    <t xml:space="preserve">Incumbent workers; people with related experience</t>
  </si>
  <si>
    <t xml:space="preserve">Prior learning assessment</t>
  </si>
  <si>
    <t xml:space="preserve">Accelerated non-credit equipment training mapped to credit</t>
  </si>
  <si>
    <t xml:space="preserve">Example: Transfer-bound students</t>
  </si>
  <si>
    <t xml:space="preserve">AAS graduates seeking a bachelor’s</t>
  </si>
  <si>
    <t xml:space="preserve">Articulation</t>
  </si>
  <si>
    <t xml:space="preserve">NAU articulation</t>
  </si>
  <si>
    <t xml:space="preserve">University + college</t>
  </si>
  <si>
    <t xml:space="preserve">Every door should count toward the next stop, and every stop should lead to a job.</t>
  </si>
  <si>
    <t xml:space="preserve">Summary</t>
  </si>
  <si>
    <t xml:space="preserve">Updates as you fill in the other sheets.</t>
  </si>
  <si>
    <t xml:space="preserve">Competency spine</t>
  </si>
  <si>
    <t xml:space="preserve">Competencies on the spine</t>
  </si>
  <si>
    <t xml:space="preserve">  Core</t>
  </si>
  <si>
    <t xml:space="preserve">  Cluster</t>
  </si>
  <si>
    <t xml:space="preserve">  Pathway</t>
  </si>
  <si>
    <t xml:space="preserve">Overlaps and gaps</t>
  </si>
  <si>
    <t xml:space="preserve">Gap: not taught anywhere</t>
  </si>
  <si>
    <t xml:space="preserve">Gap: no community college offering</t>
  </si>
  <si>
    <t xml:space="preserve">Check: multiple CC courses</t>
  </si>
  <si>
    <t xml:space="preserve">  of which, duplication to coordinate</t>
  </si>
  <si>
    <t xml:space="preserve">Covered: no high school on-ramp</t>
  </si>
  <si>
    <t xml:space="preserve">Covered</t>
  </si>
  <si>
    <t xml:space="preserve">Taught in only one layer or none</t>
  </si>
  <si>
    <t xml:space="preserve">Partners</t>
  </si>
  <si>
    <t xml:space="preserve">Functions with no lead</t>
  </si>
  <si>
    <t xml:space="preserve">Functions with multiple leads</t>
  </si>
  <si>
    <t xml:space="preserve">Entry points</t>
  </si>
  <si>
    <t xml:space="preserve">Stops defined</t>
  </si>
  <si>
    <t xml:space="preserve">Doors defined</t>
  </si>
  <si>
    <t xml:space="preserve">Doors live</t>
  </si>
  <si>
    <t xml:space="preserve">Source: SciTech Institute Semiconductor Manufacturing Skills Crosswalk (copied as provided, for reference; edit the spine, not this sheet).</t>
  </si>
  <si>
    <t xml:space="preserve">Skill Category</t>
  </si>
  <si>
    <t xml:space="preserve">Domain</t>
  </si>
  <si>
    <t xml:space="preserve">O*Net Code</t>
  </si>
  <si>
    <t xml:space="preserve">CIP Code</t>
  </si>
  <si>
    <t xml:space="preserve">ADE Standard(s)</t>
  </si>
  <si>
    <t xml:space="preserve">Supporting ADE Standard Text</t>
  </si>
  <si>
    <t xml:space="preserve">MCCCD Course Code</t>
  </si>
  <si>
    <t xml:space="preserve">Supporting MCCCD Standard Text</t>
  </si>
  <si>
    <t xml:space="preserve">UA Course Code</t>
  </si>
  <si>
    <t xml:space="preserve">Supporting UA Standard Text</t>
  </si>
  <si>
    <t xml:space="preserve">Chip Path Courses</t>
  </si>
  <si>
    <t xml:space="preserve">Chip Path Supporting Text</t>
  </si>
  <si>
    <t xml:space="preserve">PLTW Courses</t>
  </si>
  <si>
    <t xml:space="preserve">Supporting PLTW Text</t>
  </si>
  <si>
    <t xml:space="preserve">17-3023.00 (Electrical &amp; Electronic Engineering Technologists &amp; Techs)</t>
  </si>
  <si>
    <t xml:space="preserve">15-1231.00 (Computer Network Support Specialists)</t>
  </si>
  <si>
    <t xml:space="preserve">49-9071.00 (Maintenance &amp; Repair Workers, General)</t>
  </si>
  <si>
    <t xml:space="preserve">17-2199.00 (Engineers, All Other / Mechatronics &amp; Microsystems)</t>
  </si>
  <si>
    <t xml:space="preserve">CORE</t>
  </si>
  <si>
    <t xml:space="preserve">7.13 Communicate technical information clearly using basic text and visual tools (e.g., PowerPoint presentations)</t>
  </si>
  <si>
    <t xml:space="preserve">The program prepares students with the foundational expectations for interpersonal and professional skills within the industry.</t>
  </si>
  <si>
    <t xml:space="preserve">CHEE 415 connects semiconductor manufacturing processes with environmental implications, a context that requires communicating technical, regulatory, and operational considerations across disciplines. SIE 465 situates students in supply-chain decisions that typically require clear coordination among engineering, operations, suppliers, and customers. The co-curricular Fast Track explicitly includes an employer panel and final team presentations to industry partners, making it the clearest published communication-focused experience.</t>
  </si>
  <si>
    <t xml:space="preserve">Articulates ideas clearly and effectively in written, verbal, and technical formats within multidisciplinary manufacturing environments.</t>
  </si>
  <si>
    <t xml:space="preserve">PLTW Engineering (EDD, IED)</t>
  </si>
  <si>
    <t xml:space="preserve">Students deliver oral technical presentations to panels of engineering professionals, generate standard CAD drawings, and present complex scientific concepts to non-technical stakeholders.</t>
  </si>
  <si>
    <t xml:space="preserve">Communicating with Supervisors, Peers, or Subordinates — Provide information to supervisors, co-workers, and subordinates by telephone, written form, email, or in person.</t>
  </si>
  <si>
    <t xml:space="preserve">Answer user inquiries regarding computer software or hardware operation to resolve problems; explain resolution steps to technical and non-technical staff.</t>
  </si>
  <si>
    <t xml:space="preserve">Communicate with machine operators, tenants, or supervisors to discuss equipment performance, facility needs, and repair timelines.</t>
  </si>
  <si>
    <t xml:space="preserve">Present technical reports, design specifications, and operational recommendations to clients, engineering teams, and executive management.</t>
  </si>
  <si>
    <t xml:space="preserve">1.7 Summarize basic knowledge and skills needed by all levels of semiconductor workers (... cross-functional communication skills...)</t>
  </si>
  <si>
    <t xml:space="preserve">PLTW Biomedical Science (BI)</t>
  </si>
  <si>
    <t xml:space="preserve">7.5 (... explain yield in simple terms during a team discussion, etc.)</t>
  </si>
  <si>
    <t xml:space="preserve">PLTW Gateway (DM)</t>
  </si>
  <si>
    <t xml:space="preserve">7.2 Explain diagrams and basic technical drawings to understand equipment, processes, and systems (i.e., process flow diagrams, equipment schematics, simple system layouts, etc.)</t>
  </si>
  <si>
    <t xml:space="preserve">11.2 Describe how the authentication, authorization and accounting (AAA) security framework is used to manage network access, enforce policies, and monitor user activity</t>
  </si>
  <si>
    <t xml:space="preserve">1.8 Discuss overall education and training and career pathways for workers in the semiconductor industry...</t>
  </si>
  <si>
    <t xml:space="preserve">2.8 Follow cleanroom protocol, housekeeping procedures, and standardized work practices to maintain safety, cleanliness, and product quality (i.e., proper gowning and de-gowning...)</t>
  </si>
  <si>
    <t xml:space="preserve">The processing laboratory provides hands-on semiconductor/MEMS processing experience, which supports coordinated lab work, shared procedures, documentation, and safety/quality practices. Computer-integrated manufacturing links engineering systems and production operations. The Fast Track requires students to complete a team project and present it to industry partners, directly demonstrating collaborative work.</t>
  </si>
  <si>
    <t xml:space="preserve">Works productively in diverse teams, sharing responsibilities and coordinating tasks to achieve common project and production goals.</t>
  </si>
  <si>
    <t xml:space="preserve">PLTW Engineering (POE, CIM)</t>
  </si>
  <si>
    <t xml:space="preserve">Multidisciplinary student teams implement project management frameworks, division of labor (e.g., project manager, lead designer, test technician), peer design reviews, and collaborative technical troubleshooting.</t>
  </si>
  <si>
    <t xml:space="preserve">Work in operational teams with engineers, production personnel, and technicians to assemble, test, and refine electronic systems.</t>
  </si>
  <si>
    <t xml:space="preserve">Coordinate with network administrators, vendors, and IT team members to resolve complex system outages and implementation issues.</t>
  </si>
  <si>
    <t xml:space="preserve">Collaborate with specialized contractors, building managers, and maintenance teams on facility overhauls and major repairs.</t>
  </si>
  <si>
    <t xml:space="preserve">Collaborate with multidisciplinary engineering teams (mechanical, software, systems) to design and integrate automated components.</t>
  </si>
  <si>
    <t xml:space="preserve">PLTW Gateway (AR)</t>
  </si>
  <si>
    <t xml:space="preserve">7.12 Use basic software tools to view, enter, and understand production or process data (i.e., enter data into a digital log or form... understand basic python scripting, etc.)</t>
  </si>
  <si>
    <t xml:space="preserve">The Industrial Technology for Semiconductor certificate includes instruction in “digital fundamentals,” along with AC/DC circuits, solid-state devices, industrial electronics, quality assurance, and semiconductor manufacturing technology.</t>
  </si>
  <si>
    <t xml:space="preserve">ECE 407 addresses digital VLSI system design, aligning with fluency in digital logic/design tools and electronic-system concepts. SIE 483 focuses on computer-integrated manufacturing systems, supporting familiarity with digitally enabled production environments. MSE 480’s emphasis on advanced characterization methods supports interpreting instrument-generated materials data and working with sophisticated technical equipment.</t>
  </si>
  <si>
    <t xml:space="preserve">Demonstrates proficiency in navigating digital tools, automated control systems, data entry platforms, and industry-standard software interfaces.</t>
  </si>
  <si>
    <t xml:space="preserve">PLTW Engineering (IED, DE, CIM)</t>
  </si>
  <si>
    <t xml:space="preserve">Students operate industry-standard software tools (CAD, circuit simulation environments, Python/Java IDEs, G-code software) and physical hardware (3D printers, CNC equipment, microcontrollers, and sensors).</t>
  </si>
  <si>
    <t xml:space="preserve">Utilize CAD software, circuit simulation tools (e.g., SPICE), diagnostic software, and computer-based testing interfaces.</t>
  </si>
  <si>
    <t xml:space="preserve">Operate network diagnostic utilities, terminal emulation software, operating system administration tools, and ticketing software.</t>
  </si>
  <si>
    <t xml:space="preserve">Utilize Computerized Maintenance Management Systems (CMMS) and digital building automation/HVAC control interfaces.</t>
  </si>
  <si>
    <t xml:space="preserve">Apply specialized engineering software (MATLAB, LabVIEW, CAD/CAM), system simulation tools, and embedded system programming environments.</t>
  </si>
  <si>
    <t xml:space="preserve">PLTW Computer Science (CSE, CSA, SEC)</t>
  </si>
  <si>
    <t xml:space="preserve">11.1 Distinguish between physical security and cybersecurity (e.g., physical security protects tangible assets like buildings and hardware, and cybersecurity defends digital assets like networks and data)</t>
  </si>
  <si>
    <t xml:space="preserve">PLTW Gateway (AC)</t>
  </si>
  <si>
    <t xml:space="preserve">7.1 Read and interpret basic control charts to determine whether a process is operating normally or outside expected limits.</t>
  </si>
  <si>
    <t xml:space="preserve">The Industrial Technology for Semiconductor certificate requires students to “apply knowledge of basic semiconductor manufacturing concepts and processes, basic industrial electrical principles, schematics, circuits, hand tools, and appropriate problem-solving models to troubleshoot and address problems in the semiconductor industry.” It also requires students to apply vacuum components, procedures, theory, and tools to “efficiently and effectively troubleshoot common issues found in a system under vacuum.”</t>
  </si>
  <si>
    <t xml:space="preserve">The laboratory course adds applied troubleshooting in semiconductor/MEMS processing. Quality and reliability engineering provide frameworks for analyzing variation, defects, performance, and failure risk.</t>
  </si>
  <si>
    <t xml:space="preserve">Analyzes complex process data, identifies root causes of technical anomalies, and implements logical, efficient troubleshooting solutions.</t>
  </si>
  <si>
    <t xml:space="preserve">PLTW Engineering (IED, POE, EDD)</t>
  </si>
  <si>
    <t xml:space="preserve">Students apply the open-ended PLTW Design Process (Define, Imagine, Design, Create, Test, Evaluate) to diagnose physical/digital system failures, evaluate trade-offs, and iteratively refine designs based on test data.</t>
  </si>
  <si>
    <t xml:space="preserve">Critical Thinking — Using logic and reasoning to identify the strengths and weaknesses of alternative solutions, conclusions, or approaches to problems.</t>
  </si>
  <si>
    <t xml:space="preserve">Troubleshooting — Determining causes of operating errors and deciding what to do about them; analyze diagnostic output to resolve network failures.</t>
  </si>
  <si>
    <t xml:space="preserve">Inspect, operate, or test machinery to diagnose machine malfunctions; evaluate repair options to determine the most cost-effective solution.</t>
  </si>
  <si>
    <t xml:space="preserve">Complex Problem Solving — Identifying complex problems and reviewing related information to develop and evaluate options and implement solutions.</t>
  </si>
  <si>
    <t xml:space="preserve">8.3 Describe basic advantages and limitations of sensors used in manufacturing systems (i.e., size, speed, reliability, need for calibration, drift over time, etc.)</t>
  </si>
  <si>
    <t xml:space="preserve">5.12 Troubleshoot piping components and piping systems, pumps, valves, pneumatic and hydraulic components and systems, and heat exchangers</t>
  </si>
  <si>
    <t xml:space="preserve">PLTW Gateway (MD)</t>
  </si>
  <si>
    <t xml:space="preserve">2.5 Identify safety procedures when working around automated and robotic systems (i.e., adhere to restricted zones, respond appropriately to alarms...)</t>
  </si>
  <si>
    <t xml:space="preserve">9.5/9.6</t>
  </si>
  <si>
    <t xml:space="preserve">9.5 / 9.6 Use systematic problem-solving techniques [i.e., root cause and corrective action (RCCA)...] / Explain the basics of standard operating procedures (SOPs)...</t>
  </si>
  <si>
    <t xml:space="preserve">7.4 Apply basic math and unit conversions to support measurements, trends, and simple calculations used in manufacturing environments (i.e., averages, percentages, limits, unit conversions, etc.)</t>
  </si>
  <si>
    <t xml:space="preserve">“Covers measurement science, statistical process control, inspection methodologies, measurement system analysis, and failure analysis techniques.” The description also emphasizes “yield optimization, measurement uncertainty, calibration procedures, and implementation of quality control protocols.”</t>
  </si>
  <si>
    <t xml:space="preserve">The minor’s foundational chemistry options include quantitatively oriented coursework. SIE 305 introduces engineering probability and statistics, and SIE 430 builds statistical capability for engineering applications. Together, these courses support measurement, quantitative reasoning, process-data analysis, variation analysis, and evidence-based manufacturing decisions.</t>
  </si>
  <si>
    <t xml:space="preserve">Applies mathematical principles, statistical process control, and precise measurement skills to interpret technical specifications and metrics.</t>
  </si>
  <si>
    <t xml:space="preserve">PLTW Engineering (POE, DE, IED)</t>
  </si>
  <si>
    <t xml:space="preserve">Students calculate force vectors, electrical circuit values (Ohm's/Kirchhoff's Laws), dimensional tolerances using dial calipers, unit conversions, and statistical distribution metrics (mean, standard deviation) from experimental data.</t>
  </si>
  <si>
    <t xml:space="preserve">Calculate basic electrical properties (voltage, current, resistance, capacitance) using mathematical formulas, Ohm's law, and algebra.</t>
  </si>
  <si>
    <t xml:space="preserve">Compute network subnet masks, IP address allocations, bandwidth consumption, data transfer rates, and system uptime percentages.</t>
  </si>
  <si>
    <t xml:space="preserve">Measure dimensions, calculate surface areas/volumes, compute material quantities, and estimate labor and material costs for maintenance work.</t>
  </si>
  <si>
    <t xml:space="preserve">Mathematics — Using mathematics to solve problems; apply advanced principles of calculus, statistics, and linear algebra to system design and yield analysis.</t>
  </si>
  <si>
    <t xml:space="preserve">PLTW Biomedical Science (HBS, MI)</t>
  </si>
  <si>
    <t xml:space="preserve">PLTW Computer Science (CSA)</t>
  </si>
  <si>
    <t xml:space="preserve">11.6/11.7</t>
  </si>
  <si>
    <t xml:space="preserve">11.6 / 11.7 Identify protocols for cybersecurity threats / Identify protocols for protecting intellectual property</t>
  </si>
  <si>
    <t xml:space="preserve">The Semiconductor Manufacturing AAS includes a general-education foundation, and MCCCD identifies Written Communication (WCM) as a course-designation area. ENG101 is the district’s foundational composition course within that requirement structure</t>
  </si>
  <si>
    <t xml:space="preserve">CHEE 415 adds an applied context for explaining manufacturing-related environmental issues in writing.</t>
  </si>
  <si>
    <t xml:space="preserve">Accurately interprets technical manuals, standard operating procedures (SOPs), and schematics while producing clear technical documentation and logs.</t>
  </si>
  <si>
    <t xml:space="preserve">PLTW Engineering (All, esp. EDD, IED)</t>
  </si>
  <si>
    <t xml:space="preserve">Students maintain legal-grade Engineering Notebooks, conduct academic literature and patent searches, interpret technical specification sheets/schematics, and author formal design proposals and lab reports.</t>
  </si>
  <si>
    <t xml:space="preserve">Read and interpret schematics, blueprints, and technical manuals; write test reports, system logs, and standard operating procedures (SOPs).</t>
  </si>
  <si>
    <t xml:space="preserve">Read technical documentation, error logs, and vendor manuals; document network troubleshooting steps, resolution procedures, and user guides.</t>
  </si>
  <si>
    <t xml:space="preserve">Read blueprints, building diagrams, electrical schematics, and equipment manuals; maintain written maintenance logs and work orders.</t>
  </si>
  <si>
    <t xml:space="preserve">Read technical papers, regulatory compliance standards, and patent specifications; write formal engineering specifications and technical reports.</t>
  </si>
  <si>
    <t xml:space="preserve">2.8 Follow cleanroom protocol... (i.e., documenting issues and near misses, reporting spills, damage, or injuries, etc.)</t>
  </si>
  <si>
    <t xml:space="preserve">PLTW Biomedical Science (PBS, BI)</t>
  </si>
  <si>
    <t xml:space="preserve">CLUSTER</t>
  </si>
  <si>
    <t xml:space="preserve">NA</t>
  </si>
  <si>
    <t xml:space="preserve">6.1-6.4 cover voltage/current/resistance, Ohm's &amp; Kirchhoff's Laws, doping, diodes/transistors/ICs; 7.2 covers schematics and system diagrams.</t>
  </si>
  <si>
    <t xml:space="preserve">Program content “includes instruction in AC and DC circuits, digital fundamentals, solid state devices, industrial electronics, and semiconductor manufacturing technology.”</t>
  </si>
  <si>
    <t xml:space="preserve">Covers fundamental AC/DC circuit analysis, Kirchhoff’s laws, operational amplifiers, semiconductor diode/transistor modeling, and reading electrical schematics.</t>
  </si>
  <si>
    <t xml:space="preserve">Analyzes direct and alternating current principles, interprets electrical schematics, reads logic diagrams, and applies Ohm's/Kirchhoff's Laws to circuit diagnostics.</t>
  </si>
  <si>
    <t xml:space="preserve">Students calculate voltage, current, and resistance using Ohm's and Kirchhoff's Laws, design and simulate digital circuit schematics, and construct physical circuits using breadboards and logic components.</t>
  </si>
  <si>
    <t xml:space="preserve">Read blueprints, wiring diagrams, schematic drawings, or engineering instructions for assembling electronics units.</t>
  </si>
  <si>
    <t xml:space="preserve">Install or repair network cables, including fiber optic cables.</t>
  </si>
  <si>
    <t xml:space="preserve">Plan and lay out repair work, using diagrams, drawings, blueprints, maintenance manuals, or schematic diagrams.</t>
  </si>
  <si>
    <t xml:space="preserve">Create schematics and physical layouts of integrated microelectromechanical systems (MEMS); design control circuits.</t>
  </si>
  <si>
    <t xml:space="preserve">7.9: “Explain how AI and ML are used in semiconductor manufacturing...to improve manufacturing yields, to improve overall efficiency.”</t>
  </si>
  <si>
    <t xml:space="preserve">Explores business and operational integration of AI. Emphasizes leveraging AI/ML tools to streamline supply chains, optimize high-tech factory workflows, reduce operational overhead, and solve industrial scaling challenges.</t>
  </si>
  <si>
    <t xml:space="preserve">Teaches predictive modeling, supervised/unsupervised machine learning, and AI algorithms applied to complex industrial systems and manufacturing optimization.</t>
  </si>
  <si>
    <t xml:space="preserve">Utilizes predictive machine learning algorithms, automated data models, and AI-driven process optimization tools to increase yield and reduce equipment downtime.</t>
  </si>
  <si>
    <t xml:space="preserve">Students utilize Python libraries (e.g., NumPy, Pandas, Scikit-learn) to train machine learning models for predictive analysis, process optimization, and automated decision-making.</t>
  </si>
  <si>
    <t xml:space="preserve">Select tools, equipment, or technologies for use in operations or projects; operate computer systems.</t>
  </si>
  <si>
    <t xml:space="preserve">Update knowledge about emerging industry or technology trends; troubleshoot computer systems.</t>
  </si>
  <si>
    <t xml:space="preserve">Adjust equipment to ensure optimal performance.</t>
  </si>
  <si>
    <t xml:space="preserve">Research, design, develop, or test automation, intelligent systems, smart devices, or industrial systems control.</t>
  </si>
  <si>
    <t xml:space="preserve">7.1 covers reading/interpreting control charts; 9.7: “Explain the basics of Statistical Process Control (SPC) to monitor, control, and improve production processes.”</t>
  </si>
  <si>
    <t xml:space="preserve">Focuses directly on the principles and applications of Statistical Process Control (SPC) in semiconductor production. Program learning outcomes specifically require students to "Analyze quality control methods including statistical process control (SPC) through the use of metrology techniques and tools to support quality in semiconductor manufacturing operations."</t>
  </si>
  <si>
    <t xml:space="preserve">Focuses on Statistical Process Control (SPC), control charting (X-bar, R, p-charts), process capability analysis ($C_p$/$C_{pk}$), and design of experiments (DOE) for quality assurance.</t>
  </si>
  <si>
    <t xml:space="preserve">Constructs, reads, and interprets Statistical Process Control (SPC) charts (X-bar, R-charts), monitors trend rules, and uses data software to keep processes within tolerance limits.</t>
  </si>
  <si>
    <t xml:space="preserve">Students measure manufactured parts, calculate statistical variation (mean, standard deviation, upper/lower control limits), and plot Statistical Process Control (SPC) charts to evaluate manufacturing stability.</t>
  </si>
  <si>
    <t xml:space="preserve">Processing Information — Compiling, coding, categorizing, calculating, tabulating, auditing, or verifying information/data.</t>
  </si>
  <si>
    <t xml:space="preserve">Analyze data to identify or resolve operational problems.</t>
  </si>
  <si>
    <t xml:space="preserve">Monitoring Processes, Materials, or Surroundings — Monitoring and reviewing information from materials/events to assess problems.</t>
  </si>
  <si>
    <t xml:space="preserve">Mathematics/Statistics — Apply math and statistical theory/methods; analyze development or manufacturing procedures.</t>
  </si>
  <si>
    <t xml:space="preserve">Standard 11.0 “Analyze Physical Security and Cybersecurity Threats” (11.1-11.7) is a dedicated standard on this exact topic.</t>
  </si>
  <si>
    <t xml:space="preserve">“Identify perpetrators, their resources, and their motivations in cyberspace; apply risk analysis methodologies to identify potential vulnerabilities, associated impacts, and recommend appropriate responses.”</t>
  </si>
  <si>
    <t xml:space="preserve">Examines risk mitigation strategies, physical and network security, operational technology (OT) protocols, and threat vectors in automated industrial environments.</t>
  </si>
  <si>
    <t xml:space="preserve">Identifies physical facility access threats, applies AAA/CIA security frameworks, recognizes OT network vulnerabilities, and adheres to cybersecurity protocols in fab environments.</t>
  </si>
  <si>
    <t xml:space="preserve">Students analyze physical and digital access controls, simulate network threat response, evaluate CIA triad enforcement, and establish system defense protocols.</t>
  </si>
  <si>
    <t xml:space="preserve">Review existing electrical engineering criteria to identify necessary revisions, deletions, or amendments.</t>
  </si>
  <si>
    <t xml:space="preserve">Implement security measures for computer or information systems; analyze security of systems, network, or data.</t>
  </si>
  <si>
    <t xml:space="preserve">Inspect mechanical equipment to locate damage, defects, or wear.</t>
  </si>
  <si>
    <t xml:space="preserve">Perform risk assessments and execute tests of data processing systems to ensure functioning of security measures.</t>
  </si>
  <si>
    <t xml:space="preserve">2.1: “Comply with...OSHA...and COHE (Control of Hazardous Energy).” 2.8 covers cleanroom protocol and housekeeping.</t>
  </si>
  <si>
    <t xml:space="preserve">Covers safety procedures and equipment used in the semiconductor and nanotechnology industries. Emphasizes chemical, biological, and energy safety protocols, environmental health and safety (EHS) compliance, infrastructure facility safety, and proper operation within cleanroom environments.</t>
  </si>
  <si>
    <t xml:space="preserve">Focuses on hazardous material management, chemical safety, cleanroom environmental protocols, waste minimization, and compliance with industry safety standards.</t>
  </si>
  <si>
    <t xml:space="preserve">Complies with OSHA safety regulations, executes Control of Hazardous Energy (COHE/LOTO) procedures, and maintains cleanroom contamination control standards.</t>
  </si>
  <si>
    <t xml:space="preserve">Students practice industrial safety protocols, including Lockout/Tagout (LOTO) simulations, hazard evaluation, proper PPE usage, and aseptic/clean environment practices.</t>
  </si>
  <si>
    <t xml:space="preserve">Review, develop, or prepare maintenance and operating standards.</t>
  </si>
  <si>
    <t xml:space="preserve">Develop plans to safeguard computer files and meet emergency data processing needs.</t>
  </si>
  <si>
    <t xml:space="preserve">Perform work involving safety standards to keep machines, mechanical equipment, or structures in repair.</t>
  </si>
  <si>
    <t xml:space="preserve">Evaluating Information to Determine Compliance with Standards — Determine whether processes comply with laws, regulations, or standards.</t>
  </si>
  <si>
    <t xml:space="preserve">5.12: troubleshoot piping, pumps, valves, pneumatic/hydraulic systems, heat exchangers; 6.8-6.10 cover a systematic diagnostic process for electrical failures.</t>
  </si>
  <si>
    <t xml:space="preserve">"Apply knowledge of basic semiconductor manufacturing concepts and processes, basic industrial electrical principles, schematics, circuits, hand tools, and appropriate problem-solving models to troubleshoot and address problems [diagnose issues] in the semiconductor industry."\n\n*"Apply knowledge of vacuum components, procedures, theory, and hand tools to efficiently and effectively troubleshoot common issues found in a system under vacuum."*</t>
  </si>
  <si>
    <t xml:space="preserve">Provides hands-on cleanroom training on unit operations, tool calibration, equipment diagnostics, and failure analysis for processing hardware.</t>
  </si>
  <si>
    <t xml:space="preserve">Uses systematic diagnostic procedures, multi-meter measurements, and software diagnostic tools to troubleshoot electrical, mechanical, pneumatic, and vacuum tool failures.</t>
  </si>
  <si>
    <t xml:space="preserve">Students apply systematic root-cause analysis to locate and resolve faults in electrical circuits, pneumatic systems, mechanical drives, and automated code.</t>
  </si>
  <si>
    <t xml:space="preserve">Set up and operate specialized or standard test equipment to diagnose, test, or analyze performance.</t>
  </si>
  <si>
    <t xml:space="preserve">Test computer software or hardware, using standard diagnostic testing equipment and procedures.</t>
  </si>
  <si>
    <t xml:space="preserve">Inspect, operate, or test machinery or equipment to diagnose machine malfunctions; troubleshoot system problems.</t>
  </si>
  <si>
    <t xml:space="preserve">Conduct analyses addressing issues such as failure, reliability, or yield improvement; test performance of integrated systems.</t>
  </si>
  <si>
    <t xml:space="preserve">7.11 describes automated/robotic systems moving materials and operating equipment; 2.5 covers safety procedures for automated/robotic systems.</t>
  </si>
  <si>
    <t xml:space="preserve">"Fundamental principles of working safely with robots, and applications and trends in industrial robotics. Includes types of robots, axes and coordinate systems, programming and operating robots. Incorporates end effectors and collaborative robots."</t>
  </si>
  <si>
    <t xml:space="preserve">Covers automated tooling systems, programmable logic controllers (PLCs), robotic integration, sensor networks, and automated feedback control in production.</t>
  </si>
  <si>
    <t xml:space="preserve">Configures, tests, and safely operates automated wafer handling systems, robotic pick-and-place arms, and programmable logic controller (PLC) cell interfaces.</t>
  </si>
  <si>
    <t xml:space="preserve">Students program, calibrate, and operate automated robotic workcells, G-code CNC machines, automated material handling systems, and programmable logic controller (PLC) sensor networks.</t>
  </si>
  <si>
    <t xml:space="preserve">Install or maintain electrical control systems, industrial automation systems, variable speed drives, or PLCs.</t>
  </si>
  <si>
    <t xml:space="preserve">Test computer system operations to ensure proper functioning.</t>
  </si>
  <si>
    <t xml:space="preserve">Set up and operate machine tools to repair or fabricate machine parts, jigs, fixtures, or tools.</t>
  </si>
  <si>
    <t xml:space="preserve">Oversee operation of MEMS fabrication or assembly equipment; design engineering systems for automation of industrial tasks.</t>
  </si>
  <si>
    <t xml:space="preserve">3.6 covers quality assurance processes; 3.7 covers quality control and change management processes (SOPs, SPC, traceability).</t>
  </si>
  <si>
    <t xml:space="preserve">"Analyze quality control methods including statistical process control (SPC) through the use of metrology techniques and tools to support quality in semiconductor manufacturing operations."</t>
  </si>
  <si>
    <t xml:space="preserve">Details Quality Assurance and Quality Control (QA/QC) methodologies, Six Sigma frameworks, ISO standards, total quality management, and inspection protocols.</t>
  </si>
  <si>
    <t xml:space="preserve">Executes Quality Assurance (QA) and Quality Control (QC) inspection routines, enforces Standard Operating Procedures (SOPs), and logs traceability metrics.</t>
  </si>
  <si>
    <t xml:space="preserve">Students perform part dimensional verification using calipers/micrometers, implement SOPs, document quality control audits, and execute non-conformance logging.</t>
  </si>
  <si>
    <t xml:space="preserve">Direct quality control activities; evaluate designs or specifications to ensure quality.</t>
  </si>
  <si>
    <t xml:space="preserve">Test computer system operations and software performance to ensure proper functioning.</t>
  </si>
  <si>
    <t xml:space="preserve">Inspect mechanical equipment to locate defects; test mechanical equipment to ensure proper functioning.</t>
  </si>
  <si>
    <t xml:space="preserve">Develop or validate product-specific test protocols, acceptance thresholds, or inspection tools for quality control testing.</t>
  </si>
  <si>
    <t xml:space="preserve">3.4: “Explain manufacturing yield, including the stages of yield loss and factors affecting yield, final test yield, and yield reliability.”</t>
  </si>
  <si>
    <t xml:space="preserve">Focuses on statistical methods, quality control monitoring, run charts, and identifying variation factors to maintain target yield limits and optimize manufacturing output.</t>
  </si>
  <si>
    <t xml:space="preserve">Focuses on integrated process integration, yield limiting defects, failure modes in device fabrication, and root-cause analysis for output optimization.</t>
  </si>
  <si>
    <t xml:space="preserve">Tracks fabrication yield percentages, analyzes defect density sources, evaluates scrap rate causes, and reports factors impacting final product throughput.</t>
  </si>
  <si>
    <t xml:space="preserve">Students calculate production yield metrics, track defect density across manufacturing runs, perform root-cause failure analyses, and adjust parameters to reduce scrap rate.</t>
  </si>
  <si>
    <t xml:space="preserve">Interpret test information to resolve design-related problems; resolve operational performance problems.</t>
  </si>
  <si>
    <t xml:space="preserve">Monitor the performance of computer networks; analyze data to resolve operational problems.</t>
  </si>
  <si>
    <t xml:space="preserve">Monitoring Processes, Materials, or Surroundings — Detect or assess operational problems.</t>
  </si>
  <si>
    <t xml:space="preserve">Conduct analyses addressing failure, reliability, or yield improvement; monitor/calibrate systems to maximize production efficiency.</t>
  </si>
  <si>
    <t xml:space="preserve">7.1 covers determining whether a process is operating normally or outside expected limits; 8.6-8.7 cover sensor feedback and observing trends outside expected limits.</t>
  </si>
  <si>
    <t xml:space="preserve">Covers fundamental semiconductor fabrication steps—including oxidation, photolithography, deposition, and etching—and tracking critical baseline parameters during operations.</t>
  </si>
  <si>
    <t xml:space="preserve">Teaches control and monitoring of core fabrication parameters including thermal oxidation, thin-film deposition, photolithography exposure, and plasma etching rates.</t>
  </si>
  <si>
    <t xml:space="preserve">Reads, logs, and evaluates core manufacturing operational parameters such as chamber temperature, gas flow, pressure, vacuum levels, and RF power.</t>
  </si>
  <si>
    <t xml:space="preserve">Students use industrial sensors and data acquisition interfaces to continuously log, visualize, and analyze operational variables (e.g., pressure, temperature, flow rate).</t>
  </si>
  <si>
    <t xml:space="preserve">Maintain system logs or manuals to document testing or operation of equipment; maintain operational records.</t>
  </si>
  <si>
    <t xml:space="preserve">Monitor the performance of computer networks; document network-related activities or tasks.</t>
  </si>
  <si>
    <t xml:space="preserve">Perform routine maintenance, such as inspecting drives/motors, checking fluid levels, or replacing filters.</t>
  </si>
  <si>
    <t xml:space="preserve">Monitor or calibrate automated systems, industrial control systems, or system components to maximize efficiency.</t>
  </si>
  <si>
    <t xml:space="preserve">2.8: “proper gowning and de-gowning, keeping work areas clean and organized, eliminating trip hazards, documenting issues and near misses.”</t>
  </si>
  <si>
    <t xml:space="preserve">Covers cleanroom protocol and safety standards, including contamination control, personal protective equipment (PPE)/gowning procedures, and facility housekeeping.</t>
  </si>
  <si>
    <t xml:space="preserve">Offers hands-on instruction within the NanoFab &amp; Processing Facility (NF&amp;P) covering ISO cleanroom protocols, gowning procedures, particle control, and contamination prevention.</t>
  </si>
  <si>
    <t xml:space="preserve">Demonstrates proper cleanroom gowning and de-gowning techniques, follows particle minimization routines, and maintains strict cleanroom protocols and housekeeping.</t>
  </si>
  <si>
    <t xml:space="preserve">Students execute gowning sequences, adhere to strict contamination control procedures, and maintain standardized, hazard-free workplace environments.</t>
  </si>
  <si>
    <t xml:space="preserve">Assemble, test, or maintain circuitry; maintain electronic equipment and clean work areas.</t>
  </si>
  <si>
    <t xml:space="preserve">Maintain computer hardware and physical network equipment workspace.</t>
  </si>
  <si>
    <t xml:space="preserve">Perform general cleaning of buildings, properties, or specialized factory machinery.</t>
  </si>
  <si>
    <t xml:space="preserve">Oversee operation and physical upkeep of microelectromechanical systems (MEMS) fabrication or assembly equipment.</t>
  </si>
  <si>
    <t xml:space="preserve">Automation, Controls, &amp; Sensor Technologies, ONET - 17-3023.00, CIP - 47.0105</t>
  </si>
  <si>
    <t xml:space="preserve">Automation, Controls, &amp; Sensor Technologies</t>
  </si>
  <si>
    <t xml:space="preserve">Standard 8.0 (sensor solutions) and Standard 10.0 (PLC functionality) together cover control systems concepts.</t>
  </si>
  <si>
    <t xml:space="preserve">Focuses on principles of industrial control systems, covering feedback dynamics, continuous system behavior, and tuning methodology.</t>
  </si>
  <si>
    <t xml:space="preserve">Automatic Control / Control Systems Analysis: Covers dynamic system modeling, feedback control system characteristics, stability analysis, steady-state error analysis, and PID/state-feedback control design.</t>
  </si>
  <si>
    <t xml:space="preserve">Analyzes feedback control loops, system response time, proportional-integral-derivative (PID) tuning, and dynamic system behavior in automated manufacturing environments.</t>
  </si>
  <si>
    <t xml:space="preserve">Design, test, or maintain electrical control systems, industrial automation equipment, and variable speed drives.</t>
  </si>
  <si>
    <t xml:space="preserve">10.1-10.5 cover PLC definition, components, function, and troubleshooting; Standard 8.0 covers sensor types and logic.</t>
  </si>
  <si>
    <t xml:space="preserve">Teaches reading, analyzing, and troubleshooting ladder logic diagrams and connected discrete/analog sensor inputs.</t>
  </si>
  <si>
    <t xml:space="preserve">Introduction to Industrial Control System Security: Introduces the operation, ladder logic, state transitions, and logic interpretation of Programmable Logic Controllers (PLCs) in industrial control networks.</t>
  </si>
  <si>
    <t xml:space="preserve">Reads and interprets ladder logic diagrams, boolean expressions, state machines, and discrete/analog sensor signal paths within industrial control circuits.</t>
  </si>
  <si>
    <t xml:space="preserve">Read blueprints, wiring diagrams, schematic drawings, ladder logic, or engineering instructions for assembling and troubleshooting automation units.</t>
  </si>
  <si>
    <t xml:space="preserve">7.12: “...view dashboards that show equipment status, read simple graphs showing trends, understand basic python scripting.”</t>
  </si>
  <si>
    <t xml:space="preserve">Covers Python scripting basics used for automation workflows, data manipulation, and device scripting.</t>
  </si>
  <si>
    <t xml:space="preserve">Computer Programming I &amp; II: Focuses on fundamental programming constructs, algorithmic automation, basic scripting, control structures, and software logic implementation.</t>
  </si>
  <si>
    <t xml:space="preserve">Writes and executes structured scripts (e.g., Python, Structured Text) to automate recurring equipment tasks, parse process logs, and manage tool communication protocols.</t>
  </si>
  <si>
    <t xml:space="preserve">Write and execute computer code, scripts, or program sequences to automate system tasks, routine testing, and data collection.</t>
  </si>
  <si>
    <t xml:space="preserve">2.6: “Explain the ‘fail safe’ component integrated in robotic and automated systems (i.e., emergency shutdowns, interlocks, and sensor-based stops).”</t>
  </si>
  <si>
    <t xml:space="preserve">Emphasizes critical safety protocols, emergency shutdown sequence procedures, and safe functional states.</t>
  </si>
  <si>
    <t xml:space="preserve">ICS Security &amp; Industrial Automation: Covers safety-instrumented systems, fault diagnostic states, system isolation, and verifying failsafe shutdown sequences for automated process equipment.</t>
  </si>
  <si>
    <t xml:space="preserve">Verifies emergency power-off (EPO) circuits, safety relay states, and automated system drop-outs to ensure tools power down safely during fault conditions.</t>
  </si>
  <si>
    <t xml:space="preserve">Test emergency shutdown systems, safety cutoffs, and fail-safe control routines to ensure proper operational response during fault conditions.</t>
  </si>
  <si>
    <t xml:space="preserve">2.2 covers guarded areas and LOTO indicators; 2.5: “...respect interlocks and access controls, never bypass safety systems.”</t>
  </si>
  <si>
    <t xml:space="preserve">Teaches physical machine guarding standards, safety lockout/tagout procedures, and basic electrical interlocks.</t>
  </si>
  <si>
    <t xml:space="preserve">Health and Safety in Industrial Operations / ICS: Covers hazard evaluation, physical machine protection, safety interlock configuration, and procedural compliance for industrial machinery.</t>
  </si>
  <si>
    <t xml:space="preserve">Configures physical safety barriers, light curtains, interlock switches, and hardware-level safety isolation to prevent operator access to hazardous motion zones.</t>
  </si>
  <si>
    <t xml:space="preserve">Inspect, install, and maintain safety interlocks, protective barriers, and light curtains to comply with machine safety regulations.</t>
  </si>
  <si>
    <t xml:space="preserve">7.11 covers robotic/automated systems moving materials generally, but conveyors and control-system integration are not explicitly named.</t>
  </si>
  <si>
    <t xml:space="preserve">Focuses on industrial robotics setup, end-effector control, teaching position points, and cell integration.</t>
  </si>
  <si>
    <t xml:space="preserve">Introductory Robotics: Kinematics, Dynamics, and Path Planning: Focuses on robot manipulator kinematics, motion planning, trajectory generation, and robotic tool path integration.</t>
  </si>
  <si>
    <t xml:space="preserve">Programs 6-axis and SCARA robotic movements, calibrates pick-and-place end effectors, and integrates robotic arms with automated wafer handling equipment.</t>
  </si>
  <si>
    <t xml:space="preserve">Install, configure, program, and maintain industrial automation systems, PLCs, and robotic devices.</t>
  </si>
  <si>
    <t xml:space="preserve">10.2: “Identify four main components of a PLC (...input/output modules).” 10.5: “Use a PLC to troubleshoot input/out AC and DC modules.”</t>
  </si>
  <si>
    <t xml:space="preserve">Hands-on instruction in wiring, assigning addresses, and setting up digital/analog I/O expansion cards on PLC racks.</t>
  </si>
  <si>
    <t xml:space="preserve">ICS Security / Microprocessor Organization: Teaches digital and analog I/O configuration, memory mapping, interrupt handling, and sensor/actuator hardware interfacing.</t>
  </si>
  <si>
    <t xml:space="preserve">Installs, wires, and addresses discrete and analog input/output (I/O) expansion cards, Fieldbus nodes, and Ethernet/IP modules on Programmable Logic Controllers.</t>
  </si>
  <si>
    <t xml:space="preserve">Connect, assign, and test digital and analog input/output (I/O) field modules and hardware interfaces on programmable controllers.</t>
  </si>
  <si>
    <t xml:space="preserve">8.6 covers configuring/operating an automated system using sensor feedback; 8.7 covers observing trends outside expected performance limits.</t>
  </si>
  <si>
    <t xml:space="preserve">Covers open- and closed-loop continuous performance testing using live sensor feedback signals.</t>
  </si>
  <si>
    <t xml:space="preserve">Digital Control Systems: Explores discrete-time signal processing, A/D and D/A conversion, sensor sampling rate effects, closed-loop transient response, and performance validation.</t>
  </si>
  <si>
    <t xml:space="preserve">Tests closed-loop feedback responses, measures sensor hysteresis and response latency, and confirms automated system adjustments maintain target setpoints.</t>
  </si>
  <si>
    <t xml:space="preserve">Set up and operate specialized or standard test equipment to evaluate sensor feedback and verify system performance against specifications.</t>
  </si>
  <si>
    <t xml:space="preserve">Automation, Controls, and Sensor Technologies</t>
  </si>
  <si>
    <t xml:space="preserve">Introduces open-loop vs. closed-loop systems, feedback mechanisms, and PID controller principles.</t>
  </si>
  <si>
    <t xml:space="preserve">Automatic Control: Focuses on open- and closed-loop feedback systems, transfer functions, frequency response (Bode plots), root locus techniques, and PID loop design.</t>
  </si>
  <si>
    <t xml:space="preserve">Evaluates open-loop and closed-loop control system models, dead time compensation, and PID controller gain adjustments to maintain setpoint stability.</t>
  </si>
  <si>
    <t xml:space="preserve">Analyze feedback signals and adjust operational parameters (such as PID settings) to maintain system stability and response accuracy.</t>
  </si>
  <si>
    <t xml:space="preserve">Covers calibration protocols for temperature, pressure, flow rate, and proximity sensors.</t>
  </si>
  <si>
    <t xml:space="preserve">Semiconductor Processing Lab: Involves physical and chemical wafer process metrology, parameter verification, and sensor setup across lithography, etching, and thermal deposition equipment.</t>
  </si>
  <si>
    <t xml:space="preserve">Performs multi-point calibrations, drift corrections, zero/span adjustments, and reference comparisons on industrial temperature, pressure, and flow sensors.</t>
  </si>
  <si>
    <t xml:space="preserve">Calibrate electronic instruments, temperature/pressure/position sensors, and measurement transducers according to technical manuals.</t>
  </si>
  <si>
    <t xml:space="preserve">Evaluates alarm frequency, nuisance alarms, and threshold triggers in SCADA supervisory logs.</t>
  </si>
  <si>
    <t xml:space="preserve">ICS Security / Quality Engineering: Covers SCADA alarm monitoring, fault log telemetry analysis, root-cause diagnostics, and statistical process control in automated plants.</t>
  </si>
  <si>
    <t xml:space="preserve">Analyzes Supervisory Control and Data Acquisition (SCADA) historical alarm logs, event rates, and fault severity distributions to optimize system alerts and minimize alarm fatigue.</t>
  </si>
  <si>
    <t xml:space="preserve">Monitor and evaluate system operational status, alarm logs, and fault data to identify root causes of equipment outages or performance degradation.</t>
  </si>
  <si>
    <t xml:space="preserve">Builds Human-Machine Interface (HMI) dashboards displaying real-time pressure, flow, and temp gauges.</t>
  </si>
  <si>
    <t xml:space="preserve">ICS Security / Microprocessor Organization: Demonstrates human-machine interface (HMI) screen mapping, real-time sensor data streaming visualization, and status indicator dashboards.</t>
  </si>
  <si>
    <t xml:space="preserve">Designs and modifies Human-Machine Interface (HMI) dashboards, real-time trend graphs, tool status displays, and telemetry indicators for equipment operators.</t>
  </si>
  <si>
    <t xml:space="preserve">Maintain, update, or operate human-machine interface (HMI) screen graphics and visual display telemetry for monitoring real-time system metrics.</t>
  </si>
  <si>
    <t xml:space="preserve">Tests redundant safety interlock loops, safety relays, and dual-channel stop circuits.</t>
  </si>
  <si>
    <t xml:space="preserve">Reliability Engineering / ICS Security: Explores functional safety standards, fail-safe architecture verification, risk assessment methodologies, and performance level safety validation.</t>
  </si>
  <si>
    <t xml:space="preserve">Audits and validates functional safety performance levels (PL a-e) and dual-channel safety relay loops according to ISO 13849 safety of machinery standards.</t>
  </si>
  <si>
    <t xml:space="preserve">Evaluate safety-related parts of control systems (SRP/CS) and review equipment designs to ensure compliance with international safety standards and performance levels.</t>
  </si>
  <si>
    <t xml:space="preserve">Validates tool emergency shutdown (EMO) triggers, pressure relieve valves, and sensor trips.</t>
  </si>
  <si>
    <t xml:space="preserve">ICS Security &amp; Reliability: Examines safety loop verification, emergency trip testing, failure-mode testing, and hardware/software safety interlocks.</t>
  </si>
  <si>
    <t xml:space="preserve">Systematically triggers tool interlocks, vacuum door switches, and gas isolation valves to verify hardware and software fail-safe state transitions.</t>
  </si>
  <si>
    <t xml:space="preserve">Execute functional safety testing on interlock circuits, trip switches, and emergency stops to verify fail-safe protection.</t>
  </si>
  <si>
    <t xml:space="preserve">Programs Supervisory Control and Data Acquisition (SCADA) tag databases, alarms, and controls.</t>
  </si>
  <si>
    <t xml:space="preserve">Introduction to Industrial Control System Security: Covers SCADA architecture, field device telemetry collection, master terminal unit (MTU) communications, and operational software setup.</t>
  </si>
  <si>
    <t xml:space="preserve">Develops SCADA database tags, sets up remote terminal unit (RTU) polling loops, and builds real-time graphical control environments for industrial processes.</t>
  </si>
  <si>
    <t xml:space="preserve">Program and integrate Supervisory Control and Data Acquisition (SCADA) software, system communications, and centralized database reporting.</t>
  </si>
  <si>
    <t xml:space="preserve">Integrates PLCs with field devices, fieldbus networks, human-machine interfaces, and safety relays.</t>
  </si>
  <si>
    <t xml:space="preserve">Introduction to Industrial Control System Security: Focuses on integrating PLCs into wider industrial automation networks, connecting field sensors, actuators, and communication protocols.</t>
  </si>
  <si>
    <t xml:space="preserve">Interfaces PLCs with variable frequency drives (VFDs), motor starters, field sensors, and higher-level Manufacturing Execution Systems (MES).</t>
  </si>
  <si>
    <t xml:space="preserve">Install, connect, and configure programmable logic controllers (PLCs) within industrial control panels and field equipment networks.</t>
  </si>
  <si>
    <t xml:space="preserve">Teaches ladder logic modification, function blocks, timer/counter tuning, and PLC program updates.</t>
  </si>
  <si>
    <t xml:space="preserve">Introduction to Industrial Control System Security: Details editing, debugging, and deploying updated ladder logic routines, timer/counter parameters, and control code on live or simulated controllers.</t>
  </si>
  <si>
    <t xml:space="preserve">Edits existing ladder logic routines, updates timer/counter presets, modifies safety logic rungs, and uploads/downloads verified program revisions.</t>
  </si>
  <si>
    <t xml:space="preserve">Modify PLC ladder logic, function blocks, and software code to adjust system operations, fix bugs, or optimize line efficiency.</t>
  </si>
  <si>
    <t xml:space="preserve">Identifies sensor signal drift, ground loops, wiring faults, and out-of-range sensor feedback.</t>
  </si>
  <si>
    <t xml:space="preserve">Microprocessor Organization / Reliability Engineering: Focuses on signal fault isolation, out-of-range sensor error detection, noise filtering, and hardware interrupt-driven fault logging.</t>
  </si>
  <si>
    <t xml:space="preserve">Identifies open-circuit faults, signal noise, ground loops, out-of-range sensor drift, and wiring anomalies using multimeters and diagnostic software.</t>
  </si>
  <si>
    <t xml:space="preserve">Use multimeter, oscilloscope, and signal generator equipment to diagnose faulty sensors, broken wiring, and corrupted signal loops.</t>
  </si>
  <si>
    <t xml:space="preserve">Data/Cybersecurity/Infrastructure, ONET - 15-1231.00, CIP - 11.1003</t>
  </si>
  <si>
    <t xml:space="preserve">?</t>
  </si>
  <si>
    <t xml:space="preserve">11.2 explicitly names the “authentication, authorization and accounting (AAA)” framework; 11.3 explicitly names the “CIA Triad.”</t>
  </si>
  <si>
    <t xml:space="preserve">Focuses on core cybersecurity principles, including identity verification, authorization models, and securing systems via Authentication, Authorization, Accounting (AAA) and Confidentiality, Integrity, and Availability (CIA) triad frameworks.</t>
  </si>
  <si>
    <t xml:space="preserve">Cyber Security – Concept, Theory, Practice / Fundamentals of Cybersecurity: Teaches core security models, focusing on Authentication, Authorization, Accounting (AAA) and the Confidentiality, Integrity, Availability (CIA) triad.</t>
  </si>
  <si>
    <t xml:space="preserve">Implements Authentication, Authorization, and Accounting protocols alongside Confidentiality, Integrity, and Availability principles to protect network access and data assets.</t>
  </si>
  <si>
    <t xml:space="preserve">Implement security measures for computer or information systems; analyze system security to protect data confidentiality, integrity, and availability.</t>
  </si>
  <si>
    <t xml:space="preserve">Data/Cybersecurity/Infrastructure</t>
  </si>
  <si>
    <t xml:space="preserve">11.2: the AAA framework is “used to manage network access, enforce policies, and monitor user activity.”</t>
  </si>
  <si>
    <t xml:space="preserve">Teaches configuration of user privileges, file/directory permissions, group policies, and access control lists (ACLs) across industrial and corporate operating systems.</t>
  </si>
  <si>
    <t xml:space="preserve">Fundamentals of Cloud Security / Access Control &amp; Identity Management: Covers system access policies, identity management architectures, role-based access control (RBAC), and enforcing boundary protection.</t>
  </si>
  <si>
    <t xml:space="preserve">Establishes role-based access control (RBAC), user privileges, and multi-factor authentication policies across fab manufacturing networks and control software.</t>
  </si>
  <si>
    <t xml:space="preserve">Establish user accounts, set access permissions, manage security credentials, and configure system security parameters.</t>
  </si>
  <si>
    <t xml:space="preserve">9.8 covers quality inspection processes and audits.</t>
  </si>
  <si>
    <t xml:space="preserve">Covers quality assurance methodologies, measurement systems analysis, compliance standard evaluation, and audit procedures for semiconductor fabrication environments.</t>
  </si>
  <si>
    <t xml:space="preserve">Reliability Engineering / Engineering Quality Control: Focuses on failure analysis, process variation, continuous quality control, and standard compliance frameworks across complex industrial and microelectronics systems.</t>
  </si>
  <si>
    <t xml:space="preserve">Prepares compliance documentation, verifies standard operating procedures (SOPs), tracks calibration logs, and assists internal/external Quality Management System (QMS) auditors.</t>
  </si>
  <si>
    <t xml:space="preserve">Audit network security, evaluate system performance logs, and inspect operational infrastructure to ensure compliance with technology standards.</t>
  </si>
  <si>
    <t xml:space="preserve">11.3 covers “integrity” as one of the three CIA Triad principles.</t>
  </si>
  <si>
    <t xml:space="preserve">Details real-time statistical tracking, control charting, data collection accuracy, and identifying out-of-spec process drifts to ensure chip manufacturing data integrity.</t>
  </si>
  <si>
    <t xml:space="preserve">Software Assurance &amp; Security / Advanced Computer Security with ML: Details protocols for validating data feeds, establishing cryptographic hashing/attestation, and detecting unauthorized alterations in pipeline environments.</t>
  </si>
  <si>
    <t xml:space="preserve">Tracks data validation checks, error logs, and checksums to ensure telemetry, yield metrics, and equipment logs remain accurate and untampered with.</t>
  </si>
  <si>
    <t xml:space="preserve">Monitor network operations and backup processes to ensure continuous data accuracy, prevent corruption, and maintain recovery procedures.</t>
  </si>
  <si>
    <t xml:space="preserve">Introduces relational database schemas, data normalization, and structured tables for manufacturing data.</t>
  </si>
  <si>
    <t xml:space="preserve">Database Management Systems / Enterprise Data Management: Covers relational database conceptual design, normalization, schema structures, and entity-relationship modeling for operational environments.</t>
  </si>
  <si>
    <t xml:space="preserve">Designs normalized relational database schemas, tables, primary/foreign key relationships, and data indexes to efficiently store manufacturing execution data.</t>
  </si>
  <si>
    <t xml:space="preserve">Structure data stores and analyze data requirements to support network reporting, system logs, and operational asset management.</t>
  </si>
  <si>
    <t xml:space="preserve">Inspects industrial network packet captures (PCAP) and SIEM logs for anomalous OT traffic.</t>
  </si>
  <si>
    <t xml:space="preserve">Fundamentals of Info &amp; Network Security / Cyber Threat Intelligence: Focuses on network behavior analysis, signature and anomaly detection, and active threat hunting techniques applicable to industrial control/OT networks.</t>
  </si>
  <si>
    <t xml:space="preserve">Proactively searches Operational Technology (OT) networks for anomaly indicators, unauthorized network traffic, and malware targeting industrial control systems.</t>
  </si>
  <si>
    <t xml:space="preserve">Analyze network traffic and security incident logs to proactively identify unauthorized access attempt patterns and operational technology threats.</t>
  </si>
  <si>
    <t xml:space="preserve">Writes SQL queries to extract lot history, yield reports, and tool downtime records from SQL databases.</t>
  </si>
  <si>
    <t xml:space="preserve">Database Management Systems / Data Bases and Web Systems: Teaches SQL/PL-SQL syntax, complex relational queries, data extraction, and structured database management.</t>
  </si>
  <si>
    <t xml:space="preserve">Writes structured SQL queries (SELECT, JOIN, GROUP BY) to extract, filter, and analyze equipment status and production yield metrics from fab databases.</t>
  </si>
  <si>
    <t xml:space="preserve">Run database queries and command scripts to retrieve operational logs, system diagnostics, and network activity records.</t>
  </si>
  <si>
    <t xml:space="preserve">Monitors OT network traffic for anomalous intrusions, malware, and unauthorized access attempts.</t>
  </si>
  <si>
    <t xml:space="preserve">Advanced Computer Security with ML / Software DevSecOps: Instructs on automated monitoring of operational pipelines, real-time intrusion detection, and anomaly classification using automated tools and machine learning models.</t>
  </si>
  <si>
    <t xml:space="preserve">Utilizes Security Information and Event Management (SIEM) tools to monitor real-time security alerts and network traffic on shop-floor fab systems.</t>
  </si>
  <si>
    <t xml:space="preserve">Monitor security alerts, intrusion detection logs, and system traffic in real time to prevent unauthorized access and cyber breaches.</t>
  </si>
  <si>
    <t xml:space="preserve">Hardens legacy tool controllers (e.g., Windows XP/7/2000 nodes) with VLAN segmentation.</t>
  </si>
  <si>
    <t xml:space="preserve">Embedded System Design &amp; Optimization / Industrial Control Systems Security: Details techniques for hard-wiring, patch isolation, physical/logical access controls, and boundary protection on non-upgradable legacy embedded controllers.</t>
  </si>
  <si>
    <t xml:space="preserve">Applies network isolation, VLAN segmentation, port security, and legacy OS hardening to protect older fab machinery lacking modern patch support.</t>
  </si>
  <si>
    <t xml:space="preserve">Apply patch management, network isolation protocols, and security configurations to protect legacy OS endpoints and legacy hardware devices.</t>
  </si>
  <si>
    <t xml:space="preserve">Configures local edge gateways on tool sub-panels for low-latency telemetry processing.</t>
  </si>
  <si>
    <t xml:space="preserve">Web Development &amp; IoT / High Performance Computing: Focuses on architecture, compute offloading, real-time sensor processing, and edge device integration in internet-of-things contexts.</t>
  </si>
  <si>
    <t xml:space="preserve">Deploys local edge gateway devices near fab tools to process real-time sensor streams and perform low-latency calculations before cloud/server sync.</t>
  </si>
  <si>
    <t xml:space="preserve">Install, test, and maintain distributed local hardware, peripheral interfaces, and edge network devices across production areas.</t>
  </si>
  <si>
    <t xml:space="preserve">Connects tool controllers with Manufacturing Execution System (MES) servers via SECS/GEM protocols.</t>
  </si>
  <si>
    <t xml:space="preserve">Systems Engineering Process / Software Engineering Concepts: Examines enterprise system architectures, Manufacturing Execution System (MES) workflows, interfaces, and system-level API integration.</t>
  </si>
  <si>
    <t xml:space="preserve">Configures interface protocols (e.g., SECS/GEM, OPC UA) to link tool-level PLCs and controllers directly with Manufacturing Execution System (MES) servers.</t>
  </si>
  <si>
    <t xml:space="preserve">Install, configure, and connect server hardware, specialized operating software, and system interfaces to integrate manufacturing systems with IT networks.</t>
  </si>
  <si>
    <t xml:space="preserve">Verifies continuous data flow from tool sensors through edge brokers to manufacturing execution databases.</t>
  </si>
  <si>
    <t xml:space="preserve">Engineering Applications of ML &amp; Data Analytics / Data Mining &amp; Data Warehousing: Covers continuous ETL (Extract, Transform, Load) pipelines, real-time stream validation, processing metrics, and automated logging infrastructure.</t>
  </si>
  <si>
    <t xml:space="preserve">Tracks automated data ingestion pipelines, verifies ETL job completions, and diagnoses data transfer bottlenecks between tool logs and central databases.</t>
  </si>
  <si>
    <t xml:space="preserve">Track and evaluate data transmission across local and wide area networks to identify latency, connection drops, or transmission bottlenecks.</t>
  </si>
  <si>
    <t xml:space="preserve">Evaluates real-time process sensor streams (gas flows, RF power, chamber pressures) for drift.</t>
  </si>
  <si>
    <t xml:space="preserve">Semiconductor Processing / Measurement &amp; Data Analysis: Covers real-time process monitoring, sensor telemetry aggregation, etching/deposition tool data analysis, and microelectronics process control.</t>
  </si>
  <si>
    <t xml:space="preserve">Analyzes continuous time-series process data (temperature, pressure, power levels) to identify process drift, thermal spikes, and cycle anomalies.</t>
  </si>
  <si>
    <t xml:space="preserve">Analyze network performance statistics, telemetry logs, and diagnostic data to troubleshoot operational errors and optimize traffic flow.</t>
  </si>
  <si>
    <t xml:space="preserve">Semiconductor Data/Cybersecurity/Infrastructure</t>
  </si>
  <si>
    <t xml:space="preserve">Teaches Operational Technology (OT) network architectures, Purdue Model layers, and fab network routing.</t>
  </si>
  <si>
    <t xml:space="preserve">Fundamentals of Computer Networks / Wireless &amp; Ad Hoc Networks: Examines industrial network architectures, physical layout designs, bus topologies, fieldbus networks, and segmented network zones.</t>
  </si>
  <si>
    <t xml:space="preserve">Maps and manages industrial network architectures, including Purdue Model levels, air-gapped subnets, fieldbus loops, and managed industrial switch layouts.</t>
  </si>
  <si>
    <t xml:space="preserve">Document, lay out, and maintain physical and logical network architecture diagrams, VLANs, and subnets connecting operational hardware.</t>
  </si>
  <si>
    <t xml:space="preserve">Equipment &amp; Systems Maintenance, ONET - 49-9071.00, CIP - 46.0401</t>
  </si>
  <si>
    <t xml:space="preserve">7.12 covers general software tools (dashboards, equipment status, basic scripting)</t>
  </si>
  <si>
    <t xml:space="preserve">Covers industrial diagnostics software skills, including basic Human Machine Interface (HMI) navigation, connecting online to a PLC, downloading programs, and using software to troubleshoot connected automated components and system faults.</t>
  </si>
  <si>
    <t xml:space="preserve">Semiconductor Processing: Covers tool-level diagnostic systems, modern engineering diagnostic software, and process verification techniques used across fab units.</t>
  </si>
  <si>
    <t xml:space="preserve">Operates specialized equipment diagnostic utilities, error log viewers, and automated self-test software to isolate tool faults.</t>
  </si>
  <si>
    <t xml:space="preserve">Use diagnostic software, computerized testing tools, and system logs to troubleshoot and isolate machinery or facility equipment failures.</t>
  </si>
  <si>
    <t xml:space="preserve">2.1 explicitly names “lockout-tagout (LOTO) safety procedures.”</t>
  </si>
  <si>
    <t xml:space="preserve">An introductory workplace safety course focusing on critical safety policies, procedures, hazardous energy control standards (Lockout/Tagout or LOTO), and proper usage of Personal Protective Equipment (PPE) to avoid industrial injuries.</t>
  </si>
  <si>
    <t xml:space="preserve">Semiconductor Processing Lab: Conducted in the UA NanoFabrication Core Facility cleanroom, covering cleanroom protocol, equipment safety, and lockout/tagout (LOTO) procedures.</t>
  </si>
  <si>
    <t xml:space="preserve">Executes strict Lockout/Tagout (LOTO) energy control procedures to isolate electrical, pneumatic, chemical, and thermal power sources before servicing machinery.</t>
  </si>
  <si>
    <t xml:space="preserve">Perform lock-out/tag-out (LOTO) procedures on electrical, mechanical, and pneumatic energy sources prior to inspecting, servicing, or repairing equipment.</t>
  </si>
  <si>
    <t xml:space="preserve">Standard 5.0 (5.1-5.13) is entirely devoted to pneumatic/hydraulic systems, including 5.12: troubleshoot piping, pumps, valves, and components.</t>
  </si>
  <si>
    <t xml:space="preserve">Dedicated fluid power modules designed for hands-on maintenance, analysis, circuit interpretation, and repair of pressurized liquid (hydraulic) and air-driven (pneumatic) industrial equipment.</t>
  </si>
  <si>
    <t xml:space="preserve">Actuators and Controls in Manufacturing: Focuses on mechanical, pneumatic, and fluidic actuation systems used in automated industrial and semiconductor tool environments.</t>
  </si>
  <si>
    <t xml:space="preserve">Inspects, maintains, and repairs fluid power lines, valves, regulators, pumps, and pneumatic/hydraulic actuators used in tool automation.</t>
  </si>
  <si>
    <t xml:space="preserve">Inspect, repair, or replace pneumatic and hydraulic components, including valves, hoses, fluid lines, cylinders, and pressure regulators.</t>
  </si>
  <si>
    <t xml:space="preserve">Equipment and Systems Maintenance</t>
  </si>
  <si>
    <t xml:space="preserve">Diagnoses mechanical drive components, gearboxes, motors, and belt assemblies in fab machinery.</t>
  </si>
  <si>
    <t xml:space="preserve">Dynamics of Machines: Teaches force analysis, mechanical drive assemblies, gears, linkage mechanisms, and kinematic troubleshooting for mechanical systems.</t>
  </si>
  <si>
    <t xml:space="preserve">Diagnoses mechanical failure modes in belts, gearboxes, lead screws, bearings, and drive couplings across automated transport systems.</t>
  </si>
  <si>
    <t xml:space="preserve">Inspect mechanical equipment to locate defects or wear; diagnose and realign gears, belts, pulleys, shafts, and drive couplings.</t>
  </si>
  <si>
    <t xml:space="preserve">Teaches vacuum pressure regimes, roughing/turbomolecular pump behavior, and vacuum chamber dynamics.</t>
  </si>
  <si>
    <t xml:space="preserve">Surface Science: Covers gas/solid surface interactions, molecular flux, vacuum physics fundamentals, and low-pressure environment dynamics in chip manufacturing.</t>
  </si>
  <si>
    <t xml:space="preserve">Applies kinetic gas principles, mean free path calculations, and pressure regime concepts (rough, high, ultra-high vacuum) to chamber operations.</t>
  </si>
  <si>
    <t xml:space="preserve">Monitor and maintain vacuum systems and pressure differential controls; apply fluid/gas pressure principles to evaluate system seal integrity.</t>
  </si>
  <si>
    <t xml:space="preserve">Analyzes sub-system diagnostic logs to identify pre-failure trends in pumps, heaters, and valves.</t>
  </si>
  <si>
    <t xml:space="preserve">Process Control and Instrumentation: Focuses on sensor data processing, fault diagnosis, dynamic system feedback loops, and signal log interpretation for semiconductor tools.</t>
  </si>
  <si>
    <t xml:space="preserve">Parses raw time-stamped sensor log files to detect intermittent signal loss, out-of-spec readings, and pre-failure drift patterns.</t>
  </si>
  <si>
    <t xml:space="preserve">Review and interpret diagnostic logs, sensor telemetry reports, and fault codes to pinpoint root causes of operational malfunctions.</t>
  </si>
  <si>
    <t xml:space="preserve">Uses PdM software tools to track vibration, thermal signatures, and mean time between failures (MTBF).</t>
  </si>
  <si>
    <t xml:space="preserve">Simulation Modeling and Process Improvement: Explores statistical process control (SPC), machine failure modeling, software prediction, and fault detection and classification (FDC).</t>
  </si>
  <si>
    <t xml:space="preserve">Utilizes condition monitoring software, vibration analysis tools, and trend algorithms to schedule proactive maintenance before tool failure occurs.</t>
  </si>
  <si>
    <t xml:space="preserve">Use Computerized Maintenance Management Systems (CMMS) and predictive maintenance software to track equipment wear, log repairs, and schedule routines.</t>
  </si>
  <si>
    <t xml:space="preserve">Performs safe chemical flush, valve manifold box isolation, and hazardous liquid transfer.</t>
  </si>
  <si>
    <t xml:space="preserve">Microelectronics Manufacturing and the Environment: Focuses on toxic gas/hazardous chemical handling, wet etching chemistry safety, liquid supply infrastructure, and environmental safeguards.</t>
  </si>
  <si>
    <t xml:space="preserve">Follows hazardous material protocols for safely operating and maintaining chemical cabinet distribution, purge routines, and double-containment piping.</t>
  </si>
  <si>
    <t xml:space="preserve">Inspect and maintain hazardous material lines, fluid delivery channels, and chemical systems following safety standards and containment protocols.</t>
  </si>
  <si>
    <t xml:space="preserve">Implements electrical high-voltage isolation, grounding hooks, and arc flash safety protocols.</t>
  </si>
  <si>
    <t xml:space="preserve">Electronic Circuits and Power: Covers high-voltage/power electronics handling, electrical safety isolation techniques, and circuit protection protocols.</t>
  </si>
  <si>
    <t xml:space="preserve">Applies NFPA 70E safety practices to verify zero-energy states, ground high-voltage capacitors, and isolate RF generator power supplies.</t>
  </si>
  <si>
    <t xml:space="preserve">Execute electrical safety isolation, de-energization, and grounding protocols when inspecting or repairing high-voltage control systems and power units.</t>
  </si>
  <si>
    <t xml:space="preserve">Services plasma generation units, RF matching networks, showerhead assemblies, and chamber liners.</t>
  </si>
  <si>
    <t xml:space="preserve">Semiconductor Processing Laboratory: Direct laboratory units on dry plasma etching equipment operation, tool parameter tuning, surface reactions, and process troubleshooting.</t>
  </si>
  <si>
    <t xml:space="preserve">Performs component replacement, RF matching adjustments, and process chamber maintenance on dry plasma etching equipment.</t>
  </si>
  <si>
    <t xml:space="preserve">Repair, overhaul, and reassemble complex industrial process machinery, specialized production equipment, and mechanical tools.</t>
  </si>
  <si>
    <t xml:space="preserve">Calibrates end-effector teaching points, wafer pickup positioning, and multi-axis arm motion.</t>
  </si>
  <si>
    <t xml:space="preserve">Robotics &amp; Industrial Automation: Covers kinematic modeling, motion planning, spatial calibration, and end-effector alignment for automated manufacturing arms.</t>
  </si>
  <si>
    <t xml:space="preserve">Teaches precise coordinate points, calibrates optical alignment sensors, and zeros encoder positions for wafer transfer arms.</t>
  </si>
  <si>
    <t xml:space="preserve">Align, adjust, and calibrate automated mechanical mechanisms, robotic end-effectors, actuators, and positional hardware.</t>
  </si>
  <si>
    <t xml:space="preserve">Covers disassembly, rebuilding, sealing, and maintenance of dry vacuum pumps and turbopumps.</t>
  </si>
  <si>
    <t xml:space="preserve">Semiconductor Processing Lab: Hands-on training inside the NanoFab facility with deposition and etch vacuum chamber pumping stacks (turbomolecular, roughing, and cryogenic pumps).</t>
  </si>
  <si>
    <t xml:space="preserve">Disassembles, cleans, replaces seals/vanes on turbomolecular and dry mechanical backing pumps, reassembling them to factory spec.</t>
  </si>
  <si>
    <t xml:space="preserve">Dismantle, repair, and rebuild mechanical vacuum pumps, motors, compressors, and auxiliary fluid-handling components.</t>
  </si>
  <si>
    <t xml:space="preserve">Conducts helium leak detection, vacuum pressure decay checks, and O-ring seal replacements.</t>
  </si>
  <si>
    <t xml:space="preserve">Semiconductor Processing Laboratory: Hands-on cleanroom maintenance operations involving high-vacuum chamber sealing, helium mass spectrometer leak testing, and vacuum pressure integrity.</t>
  </si>
  <si>
    <t xml:space="preserve">Performs helium leak detection using mass spectrometry sniffer probes and vacuum decay rate checks on sealed process chambers.</t>
  </si>
  <si>
    <t xml:space="preserve">Conduct pressure-drop checks and leak testing on sealed process chambers, gas delivery lines, and containment units to locate defective gaskets or seals.</t>
  </si>
  <si>
    <t xml:space="preserve">Automation, Controls, &amp; Sensor Technologies, ONET - 15-1231.00, CIP - 11.1003</t>
  </si>
  <si>
    <t xml:space="preserve">1.7 names “materials science” as foundational knowledge; 3.1 lists key materials (silicon wafers, photoresists, gases, deposits).</t>
  </si>
  <si>
    <t xml:space="preserve">Material Properties and Effects of Size — Explores physical, chemical, and structural properties of materials, covering material behavior and science concepts applied in micro- and nano-scale manufacturing.</t>
  </si>
  <si>
    <t xml:space="preserve">Provides core knowledge in atomic structure, phase diagrams, crystalline structures, and chemical kinetics applicable to silicon substrates and thin films.</t>
  </si>
  <si>
    <t xml:space="preserve">Evaluates atomic structure, bandgap theory, crystal orientation, and chemical/physical properties of semiconductor substrates (Si, GaAs, SiC).</t>
  </si>
  <si>
    <t xml:space="preserve">Evaluate physical network media specifications, optical fiber characteristics, and cabling material limits under varying thermal and environmental conditions.</t>
  </si>
  <si>
    <t xml:space="preserve">4.4: “Describe a typical wafer flow process (i.e., depositing a layer of material, photo masking a pattern, removing parts of the deposited material...).”</t>
  </si>
  <si>
    <t xml:space="preserve">Semiconductor Manufacturing Processes, Tools and Techniques — Covers hands-on tool operations, step-by-step processing sequences, cleanroom safety, and end-to-end wafer flow in chip fabrication environments.</t>
  </si>
  <si>
    <t xml:space="preserve">Covers the end-to-end unit operations involved in microelectronic device fabrication, tracking wafer pathways through oxidation, photolithography, doping, etching, and metallization.</t>
  </si>
  <si>
    <t xml:space="preserve">Tracks sequential fab processing steps—including oxidation, photolithography, etch, ion implantation, deposition, and planarization—through the wafer line.</t>
  </si>
  <si>
    <t xml:space="preserve">Follow sequential technical workflows, network maintenance schedules, and established standard operating procedures (SOPs) for IT updates.</t>
  </si>
  <si>
    <t xml:space="preserve">Semiconductor Manufacturing Processes (or AIT132 - Industrial Technology for the Semiconductor Industry) — Delivers a comprehensive overview of core manufacturing operations, substrate handling, equipment integration, and foundational industry fabrication techniques.</t>
  </si>
  <si>
    <t xml:space="preserve">The primary UArizona lecture course covering silicon/compound semiconductor fabrication theory, bulk crystal growth, integrated circuit manufacturing methodologies, and process integration.</t>
  </si>
  <si>
    <t xml:space="preserve">Applies foundational principles of front-end-of-line (FEOL) and back-end-of-line (BEOL) integrated circuit fabrication processes and cleanroom workflows.</t>
  </si>
  <si>
    <t xml:space="preserve">Support specialized computer networks, server architecture, and IT infrastructure operating within automated industrial and manufacturing facilities.</t>
  </si>
  <si>
    <t xml:space="preserve">Applies optical and inline metrology to inspect wafer surface defects and pattern fidelity.</t>
  </si>
  <si>
    <t xml:space="preserve">Focuses on metrology and analytical inspection methodologies (e.g., SEM, ellipsometry, optical microscopy, X-ray diffraction) used to inspect wafer defects and measure film thickness.</t>
  </si>
  <si>
    <t xml:space="preserve">Performs optical, brightfield/darkfield, and automated defect inspection (ADI/AEI) to identify surface contamination, pattern bridges, and particulate defects.</t>
  </si>
  <si>
    <t xml:space="preserve">Inspect physical network hardware, port connectivity, cable integrity, and server status lights to identify hardware faults or physical defects.</t>
  </si>
  <si>
    <t xml:space="preserve">Enforces ISO cleanroom gowning, gown-room procedures, and contamination control protocols.</t>
  </si>
  <si>
    <t xml:space="preserve">Provides hands-on training inside university cleanrooms (NanoFab / FASTLab), covering gowning protocols, contamination control, particle prevention, and safety standards.</t>
  </si>
  <si>
    <t xml:space="preserve">Maintains ISO class cleanroom standards through strict gowning procedures, particle counter monitoring, pressure differential checks, and contamination controls.</t>
  </si>
  <si>
    <t xml:space="preserve">Maintain physical network equipment workspaces, data centers, and server rooms according to facility access and environmental control standards.</t>
  </si>
  <si>
    <t xml:space="preserve">Records wafer lot moves, track recipe IDs, split logs, and operator holds in MES software.</t>
  </si>
  <si>
    <t xml:space="preserve">Focuses on factory operations, shop-floor management, batch tracking, and inventory control systems applicable to MES logging and wafer lot tracking.</t>
  </si>
  <si>
    <t xml:space="preserve">Logs real-time batch records, equipment states, lot moves, and process parameters into Manufacturing Execution System (MES) client interfaces.</t>
  </si>
  <si>
    <t xml:space="preserve">Document network support activities, log technical problems, and record maintenance actions in system databases and ticketing tools.</t>
  </si>
  <si>
    <t xml:space="preserve">Extracts tool event timestamps, wafer counts, and fault codes from flat text log files.</t>
  </si>
  <si>
    <t xml:space="preserve">Teaches automated data ingestion, tool status log evaluation, and data processing techniques necessary for parsing diagnostic output from semiconductor fabrication tools.</t>
  </si>
  <si>
    <t xml:space="preserve">Extracts, formats, and analyzes time-stamped tool run logs to identify cycle time anomalies, process drift, and recipe abort triggers.</t>
  </si>
  <si>
    <t xml:space="preserve">Read and analyze computer network diagnostic logs, error reports, and system traffic data to isolate and resolve operational problems.</t>
  </si>
  <si>
    <t xml:space="preserve">Handles hazardous gas cabinets, double-containment piping, silane leak detection, and burn boxes.</t>
  </si>
  <si>
    <t xml:space="preserve">Covers industrial chemical hazards, hazardous gas delivery systems (silane, arsine, phosphine), upper/lower explosive limits, and chemical safety protocols required in fab environments.</t>
  </si>
  <si>
    <t xml:space="preserve">Executes safety protocols, gas cabinet purge routines, and emergency isolation procedures for reactive and self-igniting gases (e.g., silane, diborane).</t>
  </si>
  <si>
    <t xml:space="preserve">Follow emergency plans, safety guidelines, and disaster recovery procedures to safeguard IT hardware and data processing infrastructure.</t>
  </si>
  <si>
    <t xml:space="preserve">Executes Lockout/Tagout (LOTO) procedures across electrical, pneumatic, and chemical supplies.</t>
  </si>
  <si>
    <t xml:space="preserve">Covers zero-energy-state verification, industrial safety compliance (OSHA/SEMI S2 standards), electrical/pneumatic isolation, and tool safety procedures.</t>
  </si>
  <si>
    <t xml:space="preserve">Performs physical zero-energy state verification, applies personalized locks/tags, and logs LOTO documentation prior to equipment maintenance.</t>
  </si>
  <si>
    <t xml:space="preserve">Execute power-down, equipment isolation, and safety protocols prior to servicing, replacing, or installing network hardware and power units.</t>
  </si>
  <si>
    <t xml:space="preserve">Operates track-mounted Automated Material Handling Systems (AMHS) and inter-bay stockers.</t>
  </si>
  <si>
    <t xml:space="preserve">Covers automated material handling systems (AMHS), robotic arm kinematics, overhead hoist transport (OHT) logic, and fab automation workflows.</t>
  </si>
  <si>
    <t xml:space="preserve">Monitors and controls automated overhead hoist transport (OHT) systems and track stockers responsible for wafer cassette transfers throughout the fab.</t>
  </si>
  <si>
    <t xml:space="preserve">Monitor and support automated data backup systems, system monitoring software, and network hardware data transfer functions.</t>
  </si>
  <si>
    <t xml:space="preserve">Manages Front Opening Unified Pod (FOUP) docking, purge valves, and wafer transfer interfaces.</t>
  </si>
  <si>
    <t xml:space="preserve">Practical lab training on wafer carrier handling, Front Opening Unified Pod (FOUP) interface operations, and manual/automated tool interface docks inside cleanroom facilities.</t>
  </si>
  <si>
    <t xml:space="preserve">Safely docks, locks, and interfaces Front Opening Universal Pods (FOUPs) with tool load ports to prevent particle ingress during wafer transfer.</t>
  </si>
  <si>
    <t xml:space="preserve">Install, mount, swap, and position physical network hardware, rack-mounted switches, patch panels, and storage media devices.</t>
  </si>
  <si>
    <t xml:space="preserve">Covers photoresist coat, alignment, UV exposure, track develop, and critical dimension (CD) control.</t>
  </si>
  <si>
    <t xml:space="preserve">Covers photoresist spin coating, soft/hard baking, optical exposure tool operations (steppers/aligners), pattern alignment, and development.</t>
  </si>
  <si>
    <t xml:space="preserve">Applies photoresist coating, performs softbake, operates alignment/exposure steppers/scanners, and executes chemical development and hardbake cycles.</t>
  </si>
  <si>
    <t xml:space="preserve">Execute precise system software configuration, OS image deployments, and step-by-step technical setup protocols.</t>
  </si>
  <si>
    <t xml:space="preserve">Applies polishing slurry chemical dynamics, pad conditioning, and wafer planarization operations.</t>
  </si>
  <si>
    <t xml:space="preserve">Covers chemical-mechanical planarization (CMP) fundamentals, slurry dynamics, pad conditioning, and inter-layer dielectric (ILD) / metal polishing operations.</t>
  </si>
  <si>
    <t xml:space="preserve">Controls slurry flow rates, pad polishing pressure, and endpoint detection during Chemical Mechanical Planarization (CMP) to achieve global wafer flatness.</t>
  </si>
  <si>
    <t xml:space="preserve">Perform routine physical maintenance, cleaning, and preparation of server racks, network equipment chassis, and interface ports.</t>
  </si>
  <si>
    <t xml:space="preserve">Process Engineering &amp; Quality, ONET - 17-2199.00, CIP - 14.3601</t>
  </si>
  <si>
    <t xml:space="preserve">ONET - 15-1231.00</t>
  </si>
  <si>
    <t xml:space="preserve">4.1-4.7 cover semiconductor characteristics/properties, wafers, ICs, deposition; 6.3 covers N-type/P-type doping.</t>
  </si>
  <si>
    <t xml:space="preserve">Focuses on material properties, nanoparticles, oxides, and dielectric selection/modification. Supports understanding device physics by relating atomic and quantum material behavior to nanoscale semiconductor fabrication and characterization.</t>
  </si>
  <si>
    <t xml:space="preserve">Focuses on fundamental carrier mechanics, bandgap theory, junction behavior, and basic transistor modeling necessary for device design and operation.</t>
  </si>
  <si>
    <t xml:space="preserve">Evaluates PN junctions, carrier mobility, bandgap engineering, threshold voltages, and transistor behavior (MOSFET/FinFET) during fabrication.</t>
  </si>
  <si>
    <t xml:space="preserve">Apply physical principles, solid-state physics, and semiconductor material properties to design microelectromechanical systems (MEMS) and electronic components.</t>
  </si>
  <si>
    <t xml:space="preserve">7.8 explicitly names “Electronic Design Automation (EDA)” software; 3.4 covers yield analysis.</t>
  </si>
  <si>
    <t xml:space="preserve">Covers characterization, metrology, photolithography, and electron beam fabrication tools. Introduces computer-aided fabrication tools and physical diagnostic equipment used to inspect wafer patterns and analyze tool layout yields.</t>
  </si>
  <si>
    <t xml:space="preserve">Covers computer-aided design, EDA tool principles, layout analysis, and algorithmic approaches used to manage design-for-manufacturability (DFM).</t>
  </si>
  <si>
    <t xml:space="preserve">Utilizes Electronic Design Automation (EDA) and yield management software to map wafer spatial defect patterns and analyze die failures.</t>
  </si>
  <si>
    <t xml:space="preserve">Utilize Electronic Design Automation (EDA) software, simulation tools, and analytical software to design layouts and evaluate system performance.</t>
  </si>
  <si>
    <t xml:space="preserve">9.7 covers SPC explicitly.</t>
  </si>
  <si>
    <t xml:space="preserve">Focuses explicitly on statistical methods applied to semiconductor fab operations. Teaches students how to construct, interpret, and maintain control charts to analyze process stability and variation.</t>
  </si>
  <si>
    <t xml:space="preserve">Delvers into Statistical Process Control (SPC), control charting (X-bar, R, Shewhart), process capability metrics ($C_p, C_{pk}$), and stability monitoring in high-volume fabs.</t>
  </si>
  <si>
    <t xml:space="preserve">Applies Statistical Process Control (SPC) rules, calculates process capability indices ($C_p$, $C_{pk}$), and evaluates control chart variation.</t>
  </si>
  <si>
    <t xml:space="preserve">Conduct statistical process control (SPC) analyses and evaluate process capability parameters to maintain manufacturing consistency and tolerances.</t>
  </si>
  <si>
    <t xml:space="preserve">Standard 9.0 “Utilize Lean Manufacturing Principles to Improve Processes” (9.1-9.8) covers Lean, Six Sigma, RCCA, DMAIC, 5 Whys, etc.</t>
  </si>
  <si>
    <t xml:space="preserve">Teaches Lean manufacturing principles, model-based problem solving, root-cause troubleshooting, and continuous process improvement frameworks across cleanroom production environments.</t>
  </si>
  <si>
    <t xml:space="preserve">Focuses on Six Sigma methodologies, Root Cause Corrective Action (RCCA), Lean manufacturing techniques, and process continuous improvement loops.</t>
  </si>
  <si>
    <t xml:space="preserve">Executes Root Cause Analysis (RCA), corrective/preventive actions (CAPA), and Lean/Six Sigma methodologies to optimize process flows.</t>
  </si>
  <si>
    <t xml:space="preserve">Develop, recommend, and execute process engineering improvements and system modifications to enhance output, efficiency, and product quality.</t>
  </si>
  <si>
    <t xml:space="preserve">3.4 covers yield/yield-loss factors; 7.4 covers applied math (averages, percentages, limits) used in production analysis.</t>
  </si>
  <si>
    <t xml:space="preserve">Focuses on using advanced metrology, physical characterization tools, and quality assurance methods to measure fabrication defects, evaluate wafer quality, and analyze yield loss in production.</t>
  </si>
  <si>
    <t xml:space="preserve">Applies statistical modeling to inline wafer probe measurements, die sorting, defect density calculations, and yield estimation formulas (e.g., Murphy, Seeds models).</t>
  </si>
  <si>
    <t xml:space="preserve">Evaluates line yield, functional test yield, parametric distributions, and scrap rates across production lots.</t>
  </si>
  <si>
    <t xml:space="preserve">Compile, evaluate, and interpret production output metrics, statistical data, and yield reports to identify operational trends and drift.</t>
  </si>
  <si>
    <t xml:space="preserve">Process Engineering and Quality</t>
  </si>
  <si>
    <t xml:space="preserve">Explores substrate crystal structures, dopants, dielectric films, thermal properties, and thin-film stress.</t>
  </si>
  <si>
    <t xml:space="preserve">Examines crystal structures, electronic behavior, defect mechanics, and material transformations relevant to semiconductor substrate and film performance.</t>
  </si>
  <si>
    <t xml:space="preserve">Analyzes material properties, crystal lattice structures, thin-film stress, and dopant diffusion mechanisms across semiconductor substrates.</t>
  </si>
  <si>
    <t xml:space="preserve">Evaluate physical, chemical, electrical, and thermal properties of specialized materials, substrates, and thin films for engineering applications.</t>
  </si>
  <si>
    <t xml:space="preserve">Identifies point defects, particle contamination mechanisms, and parametric failure causes.</t>
  </si>
  <si>
    <t xml:space="preserve">Focuses on defect formation, contamination sources, wafer stress, parametric variation, and failure mechanisms occurring across unit process operations.</t>
  </si>
  <si>
    <t xml:space="preserve">Identifies physical and electrical failure mechanisms, such as particle contamination, pattern bridging, metal opens, and gate oxide breakdown.</t>
  </si>
  <si>
    <t xml:space="preserve">Investigate physical mechanisms causing device failure, stress fractures, contamination, or parametric yield loss during micro-fabrication.</t>
  </si>
  <si>
    <t xml:space="preserve">Applies Python libraries (Pandas/NumPy) to build wafer yield correlation models.</t>
  </si>
  <si>
    <t xml:space="preserve">Covers Python programming, data analytics, predictive modeling, and automated data extraction pipelines applied to engineering datasets.</t>
  </si>
  <si>
    <t xml:space="preserve">Develops Python scripts utilizing pandas and NumPy to model wafer yield distributions, perform regression analysis, and predict lot output.</t>
  </si>
  <si>
    <t xml:space="preserve">Develop computer algorithms, scripts, and mathematical software models to predict process yield and simulate component behavior.</t>
  </si>
  <si>
    <t xml:space="preserve">Analyzes multi-variable interaction plots, Principal Component Analysis (PCA), and process drift.</t>
  </si>
  <si>
    <t xml:space="preserve">Provides practical methods for Principal Component Analysis (PCA), Partial Least Squares (PLS), and multivariate control schemes to process high-dimensional fab data.</t>
  </si>
  <si>
    <t xml:space="preserve">Applies multivariate statistical techniques (e.g., PCA, partial least squares) to analyze complex tool sensor correlations and process drift.</t>
  </si>
  <si>
    <t xml:space="preserve">Apply advanced statistical theory and multivariate analysis techniques to evaluate multi-variable interaction in complex manufacturing processes.</t>
  </si>
  <si>
    <t xml:space="preserve">Manages chemical waste neutralization, solvent disposal protocols, and environmental standards.</t>
  </si>
  <si>
    <t xml:space="preserve">Addresses environmental impact, chemical handling, toxic byproduct treatment, hazardous waste protocols, and EPA regulatory compliance in microelectronics production.</t>
  </si>
  <si>
    <t xml:space="preserve">Ensures hazardous chemical collection, waste neutralization, effluent treatment, and disposal comply with EPA and RCRA regulations.</t>
  </si>
  <si>
    <t xml:space="preserve">Ensure chemical handling, hazardous byproduct disposal, and process engineering workflows comply with EPA regulations and environmental standards.</t>
  </si>
  <si>
    <t xml:space="preserve">Conducts Process Hazard Analysis (PHA), safety reviews, and risk control compliance.</t>
  </si>
  <si>
    <t xml:space="preserve">Covers chemical risk assessment, gas delivery safety (silane, arsine, etc.), cleanroom occupational hazard controls, and fab safety protocols.</t>
  </si>
  <si>
    <t xml:space="preserve">Implements Process Safety Management (PSM) standards, hazard identification, and risk assessments for toxic, flammable, and corrosive gases.</t>
  </si>
  <si>
    <t xml:space="preserve">Conduct operational risk assessments and implement safety protocols to ensure compliance with laws, safety standards, and regulations.</t>
  </si>
  <si>
    <t xml:space="preserve">Adjusts furnace temperature zones, CVD precursor flows, and film growth rate uniformity.</t>
  </si>
  <si>
    <t xml:space="preserve">Hands-on lab experience covering unit operations such as Chemical Vapor Deposition (CVD), Physical Vapor Deposition (PVD), and thermal oxidation tuning.</t>
  </si>
  <si>
    <t xml:space="preserve">Adjusts temperature ramp rates, gas flow ratios, and pressure settings in CVD and oxidation furnaces to control film thickness and uniformity.</t>
  </si>
  <si>
    <t xml:space="preserve">Calibrate and optimize system parameters for thermal processing, chemical vapor deposition (CVD), and thin-film growth equipment.</t>
  </si>
  <si>
    <t xml:space="preserve">Evaluates single-crystal film growth parameters, wafer lattice matching, and epi layer thickness.</t>
  </si>
  <si>
    <t xml:space="preserve">Includes thin-film measurement, ellipsometry, X-ray diffraction (XRD), SIMS, and characterization techniques for grown crystalline layers.</t>
  </si>
  <si>
    <t xml:space="preserve">Characterizes epitaxial silicon/silicon-germanium growth parameters, measuring crystal quality, slip lines, and layer thickness profile.</t>
  </si>
  <si>
    <t xml:space="preserve">Test, calibrate, and characterize crystal growth tools, epitaxy reactors, and deposition systems to ensure precise physical and electrical properties.</t>
  </si>
  <si>
    <t xml:space="preserve">Uses 8D, 5-Why, Fishbone, and failure mode verification to resolve wafer process excursions.</t>
  </si>
  <si>
    <t xml:space="preserve">Teaches physical failure analysis (PFA) tools (SEM, TEM, AFM, EDX) and techniques used to trace physical defects to process root causes.</t>
  </si>
  <si>
    <t xml:space="preserve">Investigates defect origin points using 5-Why, Fishbone diagrams, SEM/EDX inspection, and process step elimination.</t>
  </si>
  <si>
    <t xml:space="preserve">Conduct failure analyses, microscopic inspections, and root-cause investigations to identify origins of defects or performance anomalies.</t>
  </si>
  <si>
    <t xml:space="preserve">Applies factorial DOE methodologies to optimize process windows and parameter interactions.</t>
  </si>
  <si>
    <t xml:space="preserve">Teaches full/fractional factorial designs, response surface methodology (RSM), ANOVA, and optimization of unit operations to maximize fab yield.</t>
  </si>
  <si>
    <t xml:space="preserve">Designs and executes DOE matrices (factorial, response surface) to optimize process parameters while minimizing experimental trial runs.</t>
  </si>
  <si>
    <t xml:space="preserve">Design and execute statistical Design of Experiments (DOE) to optimize manufacturing parameters, isolate key variables, and validate process windows.</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</si>
</sst>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22"/>
      <color rgb="FF1B1F3B"/>
      <name val="Arial"/>
      <family val="0"/>
      <charset val="1"/>
    </font>
    <font>
      <sz val="11"/>
      <color rgb="FF4A5070"/>
      <name val="Arial"/>
      <family val="0"/>
      <charset val="1"/>
    </font>
    <font>
      <b val="true"/>
      <sz val="13"/>
      <color rgb="FFC8743A"/>
      <name val="Arial"/>
      <family val="0"/>
      <charset val="1"/>
    </font>
    <font>
      <b val="true"/>
      <sz val="10"/>
      <color rgb="FFFFFFFF"/>
      <name val="Arial"/>
      <family val="0"/>
      <charset val="1"/>
    </font>
    <font>
      <b val="true"/>
      <sz val="10"/>
      <color rgb="FF1B1F3B"/>
      <name val="Arial"/>
      <family val="0"/>
      <charset val="1"/>
    </font>
    <font>
      <sz val="10"/>
      <color rgb="FF1B1F3B"/>
      <name val="Arial"/>
      <family val="0"/>
      <charset val="1"/>
    </font>
    <font>
      <i val="true"/>
      <sz val="10"/>
      <color rgb="FF4A5070"/>
      <name val="Arial"/>
      <family val="0"/>
      <charset val="1"/>
    </font>
    <font>
      <sz val="10"/>
      <name val="Arial"/>
      <family val="0"/>
      <charset val="1"/>
    </font>
    <font>
      <b val="true"/>
      <sz val="10"/>
      <name val="Arial"/>
      <family val="0"/>
      <charset val="1"/>
    </font>
    <font>
      <sz val="9"/>
      <color rgb="FF5A6080"/>
      <name val="Arial"/>
      <family val="0"/>
      <charset val="1"/>
    </font>
    <font>
      <b val="true"/>
      <sz val="18"/>
      <color rgb="FF1B1F3B"/>
      <name val="Arial"/>
      <family val="0"/>
      <charset val="1"/>
    </font>
    <font>
      <b val="true"/>
      <sz val="12"/>
      <color rgb="FFC8743A"/>
      <name val="Arial"/>
      <family val="0"/>
      <charset val="1"/>
    </font>
    <font>
      <b val="true"/>
      <sz val="9"/>
      <name val="Arial"/>
      <family val="0"/>
      <charset val="1"/>
    </font>
    <font>
      <sz val="9"/>
      <name val="Arial"/>
      <family val="0"/>
      <charset val="1"/>
    </font>
  </fonts>
  <fills count="7">
    <fill>
      <patternFill patternType="none"/>
    </fill>
    <fill>
      <patternFill patternType="gray125"/>
    </fill>
    <fill>
      <patternFill patternType="solid">
        <fgColor rgb="FF1B1F3B"/>
        <bgColor rgb="FF003366"/>
      </patternFill>
    </fill>
    <fill>
      <patternFill patternType="solid">
        <fgColor rgb="FFFFFFFF"/>
        <bgColor rgb="FFF2F3F7"/>
      </patternFill>
    </fill>
    <fill>
      <patternFill patternType="solid">
        <fgColor rgb="FFFFF8DC"/>
        <bgColor rgb="FFF2F3F7"/>
      </patternFill>
    </fill>
    <fill>
      <patternFill patternType="solid">
        <fgColor rgb="FFF2F3F7"/>
        <bgColor rgb="FFFFFFFF"/>
      </patternFill>
    </fill>
    <fill>
      <patternFill patternType="solid">
        <fgColor rgb="FF3A4170"/>
        <bgColor rgb="FF4A5070"/>
      </patternFill>
    </fill>
  </fills>
  <borders count="2">
    <border diagonalUp="false" diagonalDown="false">
      <left/>
      <right/>
      <top/>
      <bottom/>
      <diagonal/>
    </border>
    <border diagonalUp="false" diagonalDown="false">
      <left style="thin">
        <color rgb="FFC9CEDC"/>
      </left>
      <right style="thin">
        <color rgb="FFC9CEDC"/>
      </right>
      <top style="thin">
        <color rgb="FFC9CEDC"/>
      </top>
      <bottom style="thin">
        <color rgb="FFC9CE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center"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5" fontId="9" fillId="5" borderId="1" xfId="0" applyFont="true" applyBorder="true" applyAlignment="true" applyProtection="false">
      <alignment horizontal="center" vertical="top" textRotation="0" wrapText="true" indent="0" shrinkToFit="false"/>
      <protection locked="true" hidden="false"/>
    </xf>
    <xf numFmtId="164" fontId="7" fillId="6" borderId="0"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5" fontId="8" fillId="5"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B1F3B"/>
          <bgColor rgb="FF000000"/>
        </patternFill>
      </fill>
    </dxf>
    <dxf>
      <fill>
        <patternFill patternType="solid">
          <fgColor rgb="FFFFF8DC"/>
          <bgColor rgb="FF000000"/>
        </patternFill>
      </fill>
    </dxf>
    <dxf>
      <fill>
        <patternFill patternType="solid">
          <fgColor rgb="FFFFFFFF"/>
          <bgColor rgb="FF000000"/>
        </patternFill>
      </fill>
    </dxf>
    <dxf>
      <fill>
        <patternFill patternType="solid">
          <fgColor rgb="FFF6DCC8"/>
          <bgColor rgb="FF000000"/>
        </patternFill>
      </fill>
    </dxf>
    <dxf>
      <fill>
        <patternFill patternType="solid">
          <fgColor rgb="FF9E5422"/>
          <bgColor rgb="FF000000"/>
        </patternFill>
      </fill>
    </dxf>
    <dxf>
      <fill>
        <patternFill patternType="solid">
          <fgColor rgb="FFF2F3F7"/>
          <bgColor rgb="FF000000"/>
        </patternFill>
      </fill>
    </dxf>
    <dxf>
      <font>
        <name val="Arial"/>
        <charset val="1"/>
        <family val="0"/>
        <b val="1"/>
        <color rgb="FF9E5422"/>
      </font>
      <fill>
        <patternFill>
          <bgColor rgb="FFF6DCC8"/>
        </patternFill>
      </fill>
    </dxf>
    <dxf>
      <font>
        <name val="Arial"/>
        <charset val="1"/>
        <family val="0"/>
        <color rgb="FF1D7268"/>
      </font>
      <fill>
        <patternFill>
          <bgColor rgb="FFD3EEEA"/>
        </patternFill>
      </fill>
    </dxf>
    <dxf>
      <font>
        <name val="Arial"/>
        <charset val="1"/>
        <family val="0"/>
        <b val="1"/>
        <color rgb="FFFFFFFF"/>
      </font>
      <fill>
        <patternFill>
          <bgColor rgb="FFC8743A"/>
        </patternFill>
      </fill>
    </dxf>
    <dxf>
      <fill>
        <patternFill>
          <bgColor rgb="FFF6DCC8"/>
        </patternFill>
      </fill>
    </dxf>
    <dxf>
      <fill>
        <patternFill>
          <bgColor rgb="FFFCE8B2"/>
        </patternFill>
      </fill>
    </dxf>
    <dxf>
      <fill>
        <patternFill>
          <bgColor rgb="FFD3EEEA"/>
        </patternFill>
      </fill>
    </dxf>
    <dxf>
      <fill>
        <patternFill patternType="solid">
          <fgColor rgb="FFD3EEEA"/>
          <bgColor rgb="FF000000"/>
        </patternFill>
      </fill>
    </dxf>
    <dxf>
      <fill>
        <patternFill patternType="solid">
          <fgColor rgb="FFFCE8B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D7268"/>
      <rgbColor rgb="FFC0C0C0"/>
      <rgbColor rgb="FF808080"/>
      <rgbColor rgb="FF9999FF"/>
      <rgbColor rgb="FF993366"/>
      <rgbColor rgb="FFFFF8DC"/>
      <rgbColor rgb="FFD3EEEA"/>
      <rgbColor rgb="FF660066"/>
      <rgbColor rgb="FFFF8080"/>
      <rgbColor rgb="FF0066CC"/>
      <rgbColor rgb="FFC9CEDC"/>
      <rgbColor rgb="FF000080"/>
      <rgbColor rgb="FFFF00FF"/>
      <rgbColor rgb="FFFFFF00"/>
      <rgbColor rgb="FF00FFFF"/>
      <rgbColor rgb="FF800080"/>
      <rgbColor rgb="FF800000"/>
      <rgbColor rgb="FF008080"/>
      <rgbColor rgb="FF0000FF"/>
      <rgbColor rgb="FF00CCFF"/>
      <rgbColor rgb="FFF2F3F7"/>
      <rgbColor rgb="FFCCFFCC"/>
      <rgbColor rgb="FFFCE8B2"/>
      <rgbColor rgb="FF99CCFF"/>
      <rgbColor rgb="FFFF99CC"/>
      <rgbColor rgb="FFCC99FF"/>
      <rgbColor rgb="FFF6DCC8"/>
      <rgbColor rgb="FF3366FF"/>
      <rgbColor rgb="FF33CCCC"/>
      <rgbColor rgb="FF99CC00"/>
      <rgbColor rgb="FFFFCC00"/>
      <rgbColor rgb="FFFF9900"/>
      <rgbColor rgb="FFC8743A"/>
      <rgbColor rgb="FF5A6080"/>
      <rgbColor rgb="FF9AA0B8"/>
      <rgbColor rgb="FF003366"/>
      <rgbColor rgb="FF2A9D8F"/>
      <rgbColor rgb="FF003300"/>
      <rgbColor rgb="FF4A5070"/>
      <rgbColor rgb="FF9E5422"/>
      <rgbColor rgb="FF993366"/>
      <rgbColor rgb="FF3A4170"/>
      <rgbColor rgb="FF1B1F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3</xdr:col>
      <xdr:colOff>1066320</xdr:colOff>
      <xdr:row>1</xdr:row>
      <xdr:rowOff>571320</xdr:rowOff>
    </xdr:to>
    <xdr:pic>
      <xdr:nvPicPr>
        <xdr:cNvPr id="0" name="Image 1" descr="Picture"/>
        <xdr:cNvPicPr/>
      </xdr:nvPicPr>
      <xdr:blipFill>
        <a:blip r:embed="rId1"/>
        <a:stretch/>
      </xdr:blipFill>
      <xdr:spPr>
        <a:xfrm>
          <a:off x="211320" y="190440"/>
          <a:ext cx="3885840" cy="5713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1F3B"/>
    <pageSetUpPr fitToPage="false"/>
  </sheetPr>
  <dimension ref="B2:E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32"/>
    <col collapsed="false" customWidth="true" hidden="false" outlineLevel="0" max="4" min="4" style="0" width="22"/>
    <col collapsed="false" customWidth="true" hidden="false" outlineLevel="0" max="5" min="5" style="0" width="80"/>
  </cols>
  <sheetData>
    <row r="2" customFormat="false" ht="49.5" hidden="false" customHeight="true" outlineLevel="0" collapsed="false"/>
    <row r="5" customFormat="false" ht="26.8" hidden="false" customHeight="false" outlineLevel="0" collapsed="false">
      <c r="B5" s="1" t="s">
        <v>0</v>
      </c>
    </row>
    <row r="6" customFormat="false" ht="30" hidden="false" customHeight="true" outlineLevel="0" collapsed="false">
      <c r="B6" s="2" t="s">
        <v>1</v>
      </c>
      <c r="C6" s="2"/>
      <c r="D6" s="2"/>
      <c r="E6" s="2"/>
    </row>
    <row r="8" customFormat="false" ht="16.15" hidden="false" customHeight="false" outlineLevel="0" collapsed="false">
      <c r="B8" s="3" t="s">
        <v>2</v>
      </c>
    </row>
    <row r="9" customFormat="false" ht="43.5" hidden="false" customHeight="true" outlineLevel="0" collapsed="false">
      <c r="B9" s="4" t="s">
        <v>3</v>
      </c>
      <c r="C9" s="4" t="s">
        <v>4</v>
      </c>
      <c r="D9" s="4" t="s">
        <v>5</v>
      </c>
      <c r="E9" s="4" t="s">
        <v>6</v>
      </c>
    </row>
    <row r="10" customFormat="false" ht="45.75" hidden="false" customHeight="true" outlineLevel="0" collapsed="false">
      <c r="B10" s="5" t="s">
        <v>7</v>
      </c>
      <c r="C10" s="6" t="s">
        <v>8</v>
      </c>
      <c r="D10" s="7" t="s">
        <v>9</v>
      </c>
      <c r="E10" s="7" t="s">
        <v>10</v>
      </c>
    </row>
    <row r="11" customFormat="false" ht="45.75" hidden="false" customHeight="true" outlineLevel="0" collapsed="false">
      <c r="B11" s="5" t="s">
        <v>11</v>
      </c>
      <c r="C11" s="6" t="s">
        <v>12</v>
      </c>
      <c r="D11" s="7" t="s">
        <v>13</v>
      </c>
      <c r="E11" s="7" t="s">
        <v>14</v>
      </c>
    </row>
    <row r="12" customFormat="false" ht="45.75" hidden="false" customHeight="true" outlineLevel="0" collapsed="false">
      <c r="B12" s="5" t="s">
        <v>15</v>
      </c>
      <c r="C12" s="6" t="s">
        <v>16</v>
      </c>
      <c r="D12" s="7" t="s">
        <v>17</v>
      </c>
      <c r="E12" s="7" t="s">
        <v>18</v>
      </c>
    </row>
    <row r="13" customFormat="false" ht="45.75" hidden="false" customHeight="true" outlineLevel="0" collapsed="false">
      <c r="B13" s="5" t="s">
        <v>19</v>
      </c>
      <c r="C13" s="6" t="s">
        <v>20</v>
      </c>
      <c r="D13" s="7" t="s">
        <v>21</v>
      </c>
      <c r="E13" s="7" t="s">
        <v>22</v>
      </c>
    </row>
    <row r="14" customFormat="false" ht="45.75" hidden="false" customHeight="true" outlineLevel="0" collapsed="false">
      <c r="B14" s="5" t="s">
        <v>23</v>
      </c>
      <c r="C14" s="6" t="s">
        <v>24</v>
      </c>
      <c r="D14" s="7" t="s">
        <v>25</v>
      </c>
      <c r="E14" s="7" t="s">
        <v>26</v>
      </c>
    </row>
    <row r="16" customFormat="false" ht="15" hidden="false" customHeight="false" outlineLevel="0" collapsed="false">
      <c r="B16" s="8" t="s">
        <v>27</v>
      </c>
    </row>
    <row r="18" customFormat="false" ht="16.15" hidden="false" customHeight="false" outlineLevel="0" collapsed="false">
      <c r="B18" s="3" t="s">
        <v>28</v>
      </c>
    </row>
    <row r="19" customFormat="false" ht="15" hidden="false" customHeight="false" outlineLevel="0" collapsed="false">
      <c r="B19" s="9"/>
      <c r="C19" s="10" t="s">
        <v>29</v>
      </c>
    </row>
    <row r="20" customFormat="false" ht="15" hidden="false" customHeight="false" outlineLevel="0" collapsed="false">
      <c r="B20" s="11"/>
      <c r="C20" s="10" t="s">
        <v>30</v>
      </c>
    </row>
    <row r="22" customFormat="false" ht="16.15" hidden="false" customHeight="false" outlineLevel="0" collapsed="false">
      <c r="B22" s="3" t="s">
        <v>31</v>
      </c>
    </row>
    <row r="23" customFormat="false" ht="30" hidden="false" customHeight="true" outlineLevel="0" collapsed="false">
      <c r="B23" s="12" t="s">
        <v>32</v>
      </c>
      <c r="C23" s="13" t="s">
        <v>33</v>
      </c>
      <c r="D23" s="13"/>
      <c r="E23" s="13"/>
    </row>
    <row r="24" customFormat="false" ht="30" hidden="false" customHeight="true" outlineLevel="0" collapsed="false">
      <c r="B24" s="12" t="s">
        <v>34</v>
      </c>
      <c r="C24" s="13" t="s">
        <v>35</v>
      </c>
      <c r="D24" s="13"/>
      <c r="E24" s="13"/>
    </row>
    <row r="25" customFormat="false" ht="30" hidden="false" customHeight="true" outlineLevel="0" collapsed="false">
      <c r="B25" s="12" t="s">
        <v>36</v>
      </c>
      <c r="C25" s="13" t="s">
        <v>37</v>
      </c>
      <c r="D25" s="13"/>
      <c r="E25" s="13"/>
    </row>
    <row r="26" customFormat="false" ht="30" hidden="false" customHeight="true" outlineLevel="0" collapsed="false">
      <c r="B26" s="12" t="s">
        <v>38</v>
      </c>
      <c r="C26" s="13" t="s">
        <v>39</v>
      </c>
      <c r="D26" s="13"/>
      <c r="E26" s="13"/>
    </row>
    <row r="28" customFormat="false" ht="16.15" hidden="false" customHeight="false" outlineLevel="0" collapsed="false">
      <c r="B28" s="3" t="s">
        <v>40</v>
      </c>
    </row>
    <row r="29" customFormat="false" ht="57.75" hidden="false" customHeight="true" outlineLevel="0" collapsed="false">
      <c r="B29" s="13" t="s">
        <v>41</v>
      </c>
      <c r="C29" s="13"/>
      <c r="D29" s="13"/>
      <c r="E29" s="13"/>
    </row>
    <row r="31" customFormat="false" ht="57.75" hidden="false" customHeight="true" outlineLevel="0" collapsed="false">
      <c r="B31" s="14" t="s">
        <v>42</v>
      </c>
      <c r="C31" s="14"/>
      <c r="D31" s="14"/>
      <c r="E31" s="14"/>
    </row>
    <row r="32" customFormat="false" ht="15" hidden="false" customHeight="false" outlineLevel="0" collapsed="false">
      <c r="B32" s="15" t="s">
        <v>43</v>
      </c>
    </row>
  </sheetData>
  <mergeCells count="7">
    <mergeCell ref="B6:E6"/>
    <mergeCell ref="C23:E23"/>
    <mergeCell ref="C24:E24"/>
    <mergeCell ref="C25:E25"/>
    <mergeCell ref="C26:E26"/>
    <mergeCell ref="B29:E29"/>
    <mergeCell ref="B31:E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9D8F"/>
    <pageSetUpPr fitToPage="false"/>
  </sheetPr>
  <dimension ref="A1:M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2"/>
    <col collapsed="false" customWidth="true" hidden="false" outlineLevel="0" max="4" min="4" style="0" width="10"/>
    <col collapsed="false" customWidth="true" hidden="false" outlineLevel="0" max="5" min="5" style="0" width="22"/>
    <col collapsed="false" customWidth="true" hidden="false" outlineLevel="0" max="8" min="6" style="0" width="30"/>
    <col collapsed="false" customWidth="true" hidden="false" outlineLevel="0" max="12" min="9" style="0" width="14"/>
    <col collapsed="false" customWidth="true" hidden="false" outlineLevel="0" max="13" min="13" style="0" width="30"/>
  </cols>
  <sheetData>
    <row r="1" customFormat="false" ht="22.05" hidden="false" customHeight="false" outlineLevel="0" collapsed="false">
      <c r="A1" s="16" t="s">
        <v>44</v>
      </c>
    </row>
    <row r="2" customFormat="false" ht="31.5" hidden="false" customHeight="true" outlineLevel="0" collapsed="false">
      <c r="A2" s="2" t="s">
        <v>45</v>
      </c>
      <c r="B2" s="2"/>
      <c r="C2" s="2"/>
      <c r="D2" s="2"/>
      <c r="E2" s="2"/>
      <c r="F2" s="2"/>
      <c r="G2" s="2"/>
      <c r="H2" s="2"/>
      <c r="I2" s="2"/>
      <c r="J2" s="2"/>
      <c r="K2" s="2"/>
      <c r="L2" s="2"/>
      <c r="M2" s="2"/>
    </row>
    <row r="3" customFormat="false" ht="15" hidden="false" customHeight="false" outlineLevel="0" collapsed="false">
      <c r="A3" s="8" t="s">
        <v>46</v>
      </c>
    </row>
    <row r="5" customFormat="false" ht="43.5" hidden="false" customHeight="true" outlineLevel="0" collapsed="false">
      <c r="A5" s="4" t="s">
        <v>47</v>
      </c>
      <c r="B5" s="4" t="s">
        <v>48</v>
      </c>
      <c r="C5" s="4" t="s">
        <v>49</v>
      </c>
      <c r="D5" s="4" t="s">
        <v>50</v>
      </c>
      <c r="E5" s="4" t="s">
        <v>51</v>
      </c>
      <c r="F5" s="4" t="s">
        <v>52</v>
      </c>
      <c r="G5" s="4" t="s">
        <v>53</v>
      </c>
      <c r="H5" s="4" t="s">
        <v>54</v>
      </c>
      <c r="I5" s="4" t="s">
        <v>55</v>
      </c>
      <c r="J5" s="4" t="s">
        <v>56</v>
      </c>
      <c r="K5" s="4" t="s">
        <v>57</v>
      </c>
      <c r="L5" s="4" t="s">
        <v>58</v>
      </c>
      <c r="M5" s="4" t="s">
        <v>59</v>
      </c>
    </row>
    <row r="6" customFormat="false" ht="48" hidden="false" customHeight="true" outlineLevel="0" collapsed="false">
      <c r="A6" s="17" t="s">
        <v>60</v>
      </c>
      <c r="B6" s="18" t="s">
        <v>61</v>
      </c>
      <c r="C6" s="9" t="s">
        <v>62</v>
      </c>
      <c r="D6" s="9" t="s">
        <v>63</v>
      </c>
      <c r="E6" s="9"/>
      <c r="F6" s="9"/>
      <c r="G6" s="9"/>
      <c r="H6" s="9"/>
      <c r="I6" s="9"/>
      <c r="J6" s="9"/>
      <c r="K6" s="9"/>
      <c r="L6" s="19" t="n">
        <f aca="false">COUNTIF('2 Competency Spine'!H$6:H$300,"Core")</f>
        <v>18</v>
      </c>
      <c r="M6" s="9"/>
    </row>
    <row r="7" customFormat="false" ht="48" hidden="false" customHeight="true" outlineLevel="0" collapsed="false">
      <c r="A7" s="17" t="s">
        <v>64</v>
      </c>
      <c r="B7" s="18" t="s">
        <v>65</v>
      </c>
      <c r="C7" s="9" t="s">
        <v>66</v>
      </c>
      <c r="D7" s="9" t="s">
        <v>67</v>
      </c>
      <c r="E7" s="9"/>
      <c r="F7" s="9"/>
      <c r="G7" s="9"/>
      <c r="H7" s="9"/>
      <c r="I7" s="9"/>
      <c r="J7" s="9"/>
      <c r="K7" s="9"/>
      <c r="L7" s="19" t="n">
        <f aca="false">COUNTIF('2 Competency Spine'!I$6:I$300,"Core")</f>
        <v>14</v>
      </c>
      <c r="M7" s="9"/>
    </row>
    <row r="8" customFormat="false" ht="48" hidden="false" customHeight="true" outlineLevel="0" collapsed="false">
      <c r="A8" s="17" t="s">
        <v>68</v>
      </c>
      <c r="B8" s="18" t="s">
        <v>69</v>
      </c>
      <c r="C8" s="9" t="s">
        <v>70</v>
      </c>
      <c r="D8" s="9" t="s">
        <v>71</v>
      </c>
      <c r="E8" s="9" t="s">
        <v>72</v>
      </c>
      <c r="F8" s="9" t="s">
        <v>73</v>
      </c>
      <c r="G8" s="9" t="s">
        <v>74</v>
      </c>
      <c r="H8" s="9" t="s">
        <v>75</v>
      </c>
      <c r="I8" s="9"/>
      <c r="J8" s="9"/>
      <c r="K8" s="9"/>
      <c r="L8" s="19" t="n">
        <f aca="false">COUNTIF('2 Competency Spine'!J$6:J$300,"Core")</f>
        <v>13</v>
      </c>
      <c r="M8" s="9" t="s">
        <v>76</v>
      </c>
    </row>
    <row r="9" customFormat="false" ht="48" hidden="false" customHeight="true" outlineLevel="0" collapsed="false">
      <c r="A9" s="17" t="s">
        <v>77</v>
      </c>
      <c r="B9" s="18" t="s">
        <v>78</v>
      </c>
      <c r="C9" s="9" t="s">
        <v>79</v>
      </c>
      <c r="D9" s="9" t="s">
        <v>80</v>
      </c>
      <c r="E9" s="9"/>
      <c r="F9" s="9"/>
      <c r="G9" s="9"/>
      <c r="H9" s="9"/>
      <c r="I9" s="9"/>
      <c r="J9" s="9"/>
      <c r="K9" s="9"/>
      <c r="L9" s="19" t="n">
        <f aca="false">COUNTIF('2 Competency Spine'!K$6:K$300,"Core")</f>
        <v>13</v>
      </c>
      <c r="M9" s="9"/>
    </row>
    <row r="10" customFormat="false" ht="48" hidden="false" customHeight="true" outlineLevel="0" collapsed="false">
      <c r="A10" s="17" t="s">
        <v>81</v>
      </c>
      <c r="B10" s="18" t="s">
        <v>82</v>
      </c>
      <c r="C10" s="9" t="s">
        <v>83</v>
      </c>
      <c r="D10" s="9" t="s">
        <v>84</v>
      </c>
      <c r="E10" s="9"/>
      <c r="F10" s="9"/>
      <c r="G10" s="9"/>
      <c r="H10" s="9"/>
      <c r="I10" s="9"/>
      <c r="J10" s="9"/>
      <c r="K10" s="9"/>
      <c r="L10" s="19" t="n">
        <f aca="false">COUNTIF('2 Competency Spine'!L$6:L$300,"Core")</f>
        <v>15</v>
      </c>
      <c r="M10" s="9"/>
    </row>
  </sheetData>
  <mergeCells count="1">
    <mergeCell ref="A2:M2"/>
  </mergeCells>
  <dataValidations count="1">
    <dataValidation allowBlank="true" errorStyle="stop" operator="between" showDropDown="false" showErrorMessage="false" showInputMessage="false" sqref="I6:K10" type="list">
      <formula1>"Yes,No,In progress"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9D8F"/>
    <pageSetUpPr fitToPage="false"/>
  </sheetPr>
  <dimension ref="A1:T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34"/>
    <col collapsed="false" customWidth="true" hidden="false" outlineLevel="0" max="5" min="4" style="0" width="22"/>
    <col collapsed="false" customWidth="true" hidden="false" outlineLevel="0" max="6" min="6" style="0" width="11"/>
    <col collapsed="false" customWidth="true" hidden="false" outlineLevel="0" max="7" min="7" style="0" width="9"/>
    <col collapsed="false" customWidth="true" hidden="false" outlineLevel="0" max="12" min="8" style="0" width="13"/>
    <col collapsed="false" customWidth="true" hidden="false" outlineLevel="0" max="13" min="13" style="0" width="18"/>
    <col collapsed="false" customWidth="true" hidden="false" outlineLevel="0" max="14" min="14" style="0" width="24"/>
    <col collapsed="false" customWidth="true" hidden="false" outlineLevel="0" max="15" min="15" style="0" width="18"/>
    <col collapsed="false" customWidth="true" hidden="false" outlineLevel="0" max="16" min="16" style="0" width="20"/>
    <col collapsed="false" customWidth="true" hidden="false" outlineLevel="0" max="17" min="17" style="0" width="16"/>
    <col collapsed="false" customWidth="true" hidden="false" outlineLevel="0" max="18" min="18" style="0" width="18"/>
    <col collapsed="false" customWidth="true" hidden="false" outlineLevel="0" max="19" min="19" style="0" width="10"/>
    <col collapsed="false" customWidth="true" hidden="false" outlineLevel="0" max="20" min="20" style="0" width="36"/>
  </cols>
  <sheetData>
    <row r="1" customFormat="false" ht="22.05" hidden="false" customHeight="false" outlineLevel="0" collapsed="false">
      <c r="A1" s="16" t="s">
        <v>85</v>
      </c>
    </row>
    <row r="2" customFormat="false" ht="31.5" hidden="false" customHeight="true" outlineLevel="0" collapsed="false">
      <c r="A2" s="2" t="s">
        <v>86</v>
      </c>
      <c r="B2" s="2"/>
      <c r="C2" s="2"/>
      <c r="D2" s="2"/>
      <c r="E2" s="2"/>
      <c r="F2" s="2"/>
      <c r="G2" s="2"/>
      <c r="H2" s="2"/>
      <c r="I2" s="2"/>
      <c r="J2" s="2"/>
      <c r="K2" s="2"/>
      <c r="L2" s="2"/>
      <c r="M2" s="2"/>
      <c r="N2" s="2"/>
      <c r="O2" s="2"/>
      <c r="P2" s="2"/>
      <c r="Q2" s="2"/>
      <c r="R2" s="2"/>
      <c r="S2" s="2"/>
      <c r="T2" s="2"/>
    </row>
    <row r="3" customFormat="false" ht="15" hidden="false" customHeight="false" outlineLevel="0" collapsed="false">
      <c r="A3" s="8" t="s">
        <v>46</v>
      </c>
    </row>
    <row r="4" customFormat="false" ht="15" hidden="false" customHeight="false" outlineLevel="0" collapsed="false">
      <c r="A4" s="20" t="s">
        <v>87</v>
      </c>
      <c r="B4" s="20"/>
      <c r="C4" s="20"/>
      <c r="D4" s="20"/>
      <c r="E4" s="20"/>
      <c r="F4" s="20"/>
      <c r="G4" s="20"/>
      <c r="H4" s="20" t="s">
        <v>88</v>
      </c>
      <c r="I4" s="20"/>
      <c r="J4" s="20"/>
      <c r="K4" s="20"/>
      <c r="L4" s="20"/>
      <c r="M4" s="20" t="s">
        <v>89</v>
      </c>
      <c r="N4" s="20"/>
      <c r="O4" s="20"/>
      <c r="P4" s="20"/>
      <c r="Q4" s="20"/>
      <c r="R4" s="20"/>
      <c r="S4" s="20" t="s">
        <v>90</v>
      </c>
      <c r="T4" s="20"/>
    </row>
    <row r="5" customFormat="false" ht="43.5" hidden="false" customHeight="true" outlineLevel="0" collapsed="false">
      <c r="A5" s="4" t="s">
        <v>47</v>
      </c>
      <c r="B5" s="4" t="s">
        <v>91</v>
      </c>
      <c r="C5" s="4" t="s">
        <v>87</v>
      </c>
      <c r="D5" s="4" t="s">
        <v>92</v>
      </c>
      <c r="E5" s="4" t="s">
        <v>93</v>
      </c>
      <c r="F5" s="4" t="s">
        <v>94</v>
      </c>
      <c r="G5" s="4" t="s">
        <v>95</v>
      </c>
      <c r="H5" s="4" t="str">
        <f aca="false">'1 Roles'!B6</f>
        <v>Automation, Controls &amp; Sensor Technologies</v>
      </c>
      <c r="I5" s="4" t="str">
        <f aca="false">'1 Roles'!B7</f>
        <v>Data, Cybersecurity &amp; Infrastructure</v>
      </c>
      <c r="J5" s="4" t="str">
        <f aca="false">'1 Roles'!B8</f>
        <v>Equipment &amp; Systems Maintenance</v>
      </c>
      <c r="K5" s="4" t="str">
        <f aca="false">'1 Roles'!B9</f>
        <v>Manufacturing Operations</v>
      </c>
      <c r="L5" s="4" t="str">
        <f aca="false">'1 Roles'!B10</f>
        <v>Process Engineering &amp; Quality</v>
      </c>
      <c r="M5" s="4" t="s">
        <v>96</v>
      </c>
      <c r="N5" s="4" t="s">
        <v>97</v>
      </c>
      <c r="O5" s="4" t="s">
        <v>98</v>
      </c>
      <c r="P5" s="4" t="s">
        <v>99</v>
      </c>
      <c r="Q5" s="4" t="s">
        <v>100</v>
      </c>
      <c r="R5" s="4" t="s">
        <v>101</v>
      </c>
      <c r="S5" s="4" t="s">
        <v>102</v>
      </c>
      <c r="T5" s="4" t="s">
        <v>59</v>
      </c>
    </row>
    <row r="6" customFormat="false" ht="46.25" hidden="false" customHeight="false" outlineLevel="0" collapsed="false">
      <c r="A6" s="18" t="s">
        <v>103</v>
      </c>
      <c r="B6" s="9" t="s">
        <v>104</v>
      </c>
      <c r="C6" s="18" t="s">
        <v>105</v>
      </c>
      <c r="D6" s="9" t="s">
        <v>106</v>
      </c>
      <c r="E6" s="9" t="s">
        <v>107</v>
      </c>
      <c r="F6" s="9"/>
      <c r="G6" s="9"/>
      <c r="H6" s="21"/>
      <c r="I6" s="21"/>
      <c r="J6" s="21"/>
      <c r="K6" s="21"/>
      <c r="L6" s="21"/>
      <c r="M6" s="9" t="s">
        <v>108</v>
      </c>
      <c r="N6" s="9" t="s">
        <v>109</v>
      </c>
      <c r="O6" s="9" t="s">
        <v>110</v>
      </c>
      <c r="P6" s="9" t="s">
        <v>111</v>
      </c>
      <c r="Q6" s="9" t="s">
        <v>112</v>
      </c>
      <c r="R6" s="9"/>
      <c r="S6" s="19" t="n">
        <f aca="false">IF(OR(M6&lt;&gt;"",N6&lt;&gt;""),1,0)+IF(O6&lt;&gt;"",1,0)+IF(P6&lt;&gt;"",1,0)+IF(Q6&lt;&gt;"",1,0)+IF(R6&lt;&gt;"",1,0)</f>
        <v>4</v>
      </c>
      <c r="T6" s="9"/>
    </row>
    <row r="7" customFormat="false" ht="46.25" hidden="false" customHeight="false" outlineLevel="0" collapsed="false">
      <c r="A7" s="18" t="s">
        <v>113</v>
      </c>
      <c r="B7" s="9" t="s">
        <v>104</v>
      </c>
      <c r="C7" s="18" t="s">
        <v>114</v>
      </c>
      <c r="D7" s="9" t="s">
        <v>106</v>
      </c>
      <c r="E7" s="9" t="s">
        <v>107</v>
      </c>
      <c r="F7" s="9"/>
      <c r="G7" s="9"/>
      <c r="H7" s="21"/>
      <c r="I7" s="21"/>
      <c r="J7" s="21"/>
      <c r="K7" s="21"/>
      <c r="L7" s="21"/>
      <c r="M7" s="9" t="s">
        <v>115</v>
      </c>
      <c r="N7" s="9" t="s">
        <v>116</v>
      </c>
      <c r="O7" s="9" t="s">
        <v>110</v>
      </c>
      <c r="P7" s="9" t="s">
        <v>117</v>
      </c>
      <c r="Q7" s="9" t="s">
        <v>118</v>
      </c>
      <c r="R7" s="9"/>
      <c r="S7" s="19" t="n">
        <f aca="false">IF(OR(M7&lt;&gt;"",N7&lt;&gt;""),1,0)+IF(O7&lt;&gt;"",1,0)+IF(P7&lt;&gt;"",1,0)+IF(Q7&lt;&gt;"",1,0)+IF(R7&lt;&gt;"",1,0)</f>
        <v>4</v>
      </c>
      <c r="T7" s="9"/>
    </row>
    <row r="8" customFormat="false" ht="46.25" hidden="false" customHeight="false" outlineLevel="0" collapsed="false">
      <c r="A8" s="18" t="s">
        <v>119</v>
      </c>
      <c r="B8" s="9" t="s">
        <v>104</v>
      </c>
      <c r="C8" s="18" t="s">
        <v>120</v>
      </c>
      <c r="D8" s="9" t="s">
        <v>106</v>
      </c>
      <c r="E8" s="9" t="s">
        <v>107</v>
      </c>
      <c r="F8" s="9"/>
      <c r="G8" s="9"/>
      <c r="H8" s="21"/>
      <c r="I8" s="21"/>
      <c r="J8" s="21"/>
      <c r="K8" s="21"/>
      <c r="L8" s="21"/>
      <c r="M8" s="9" t="s">
        <v>121</v>
      </c>
      <c r="N8" s="9" t="s">
        <v>122</v>
      </c>
      <c r="O8" s="9" t="s">
        <v>123</v>
      </c>
      <c r="P8" s="9" t="s">
        <v>124</v>
      </c>
      <c r="Q8" s="9" t="s">
        <v>125</v>
      </c>
      <c r="R8" s="9"/>
      <c r="S8" s="19" t="n">
        <f aca="false">IF(OR(M8&lt;&gt;"",N8&lt;&gt;""),1,0)+IF(O8&lt;&gt;"",1,0)+IF(P8&lt;&gt;"",1,0)+IF(Q8&lt;&gt;"",1,0)+IF(R8&lt;&gt;"",1,0)</f>
        <v>4</v>
      </c>
      <c r="T8" s="9"/>
    </row>
    <row r="9" customFormat="false" ht="46.25" hidden="false" customHeight="false" outlineLevel="0" collapsed="false">
      <c r="A9" s="18" t="s">
        <v>126</v>
      </c>
      <c r="B9" s="9" t="s">
        <v>104</v>
      </c>
      <c r="C9" s="18" t="s">
        <v>127</v>
      </c>
      <c r="D9" s="9" t="s">
        <v>106</v>
      </c>
      <c r="E9" s="9" t="s">
        <v>107</v>
      </c>
      <c r="F9" s="9"/>
      <c r="G9" s="9"/>
      <c r="H9" s="21"/>
      <c r="I9" s="21"/>
      <c r="J9" s="21"/>
      <c r="K9" s="21"/>
      <c r="L9" s="21"/>
      <c r="M9" s="9" t="s">
        <v>128</v>
      </c>
      <c r="N9" s="9" t="s">
        <v>129</v>
      </c>
      <c r="O9" s="9" t="s">
        <v>123</v>
      </c>
      <c r="P9" s="9" t="s">
        <v>130</v>
      </c>
      <c r="Q9" s="9" t="s">
        <v>131</v>
      </c>
      <c r="R9" s="9"/>
      <c r="S9" s="19" t="n">
        <f aca="false">IF(OR(M9&lt;&gt;"",N9&lt;&gt;""),1,0)+IF(O9&lt;&gt;"",1,0)+IF(P9&lt;&gt;"",1,0)+IF(Q9&lt;&gt;"",1,0)+IF(R9&lt;&gt;"",1,0)</f>
        <v>4</v>
      </c>
      <c r="T9" s="9"/>
    </row>
    <row r="10" customFormat="false" ht="46.25" hidden="false" customHeight="false" outlineLevel="0" collapsed="false">
      <c r="A10" s="18" t="s">
        <v>132</v>
      </c>
      <c r="B10" s="9" t="s">
        <v>104</v>
      </c>
      <c r="C10" s="18" t="s">
        <v>133</v>
      </c>
      <c r="D10" s="9" t="s">
        <v>106</v>
      </c>
      <c r="E10" s="9" t="s">
        <v>107</v>
      </c>
      <c r="F10" s="9"/>
      <c r="G10" s="9"/>
      <c r="H10" s="21"/>
      <c r="I10" s="21"/>
      <c r="J10" s="21"/>
      <c r="K10" s="21"/>
      <c r="L10" s="21"/>
      <c r="M10" s="9" t="s">
        <v>134</v>
      </c>
      <c r="N10" s="9" t="s">
        <v>135</v>
      </c>
      <c r="O10" s="9" t="s">
        <v>136</v>
      </c>
      <c r="P10" s="9" t="s">
        <v>137</v>
      </c>
      <c r="Q10" s="9" t="s">
        <v>138</v>
      </c>
      <c r="R10" s="9"/>
      <c r="S10" s="19" t="n">
        <f aca="false">IF(OR(M10&lt;&gt;"",N10&lt;&gt;""),1,0)+IF(O10&lt;&gt;"",1,0)+IF(P10&lt;&gt;"",1,0)+IF(Q10&lt;&gt;"",1,0)+IF(R10&lt;&gt;"",1,0)</f>
        <v>4</v>
      </c>
      <c r="T10" s="9"/>
    </row>
    <row r="11" customFormat="false" ht="57.45" hidden="false" customHeight="false" outlineLevel="0" collapsed="false">
      <c r="A11" s="18" t="s">
        <v>139</v>
      </c>
      <c r="B11" s="9" t="s">
        <v>104</v>
      </c>
      <c r="C11" s="18" t="s">
        <v>140</v>
      </c>
      <c r="D11" s="9" t="s">
        <v>106</v>
      </c>
      <c r="E11" s="9" t="s">
        <v>107</v>
      </c>
      <c r="F11" s="9"/>
      <c r="G11" s="9"/>
      <c r="H11" s="21"/>
      <c r="I11" s="21"/>
      <c r="J11" s="21"/>
      <c r="K11" s="21"/>
      <c r="L11" s="21"/>
      <c r="M11" s="9" t="s">
        <v>141</v>
      </c>
      <c r="N11" s="9" t="s">
        <v>142</v>
      </c>
      <c r="O11" s="9" t="s">
        <v>143</v>
      </c>
      <c r="P11" s="9" t="s">
        <v>144</v>
      </c>
      <c r="Q11" s="9" t="s">
        <v>145</v>
      </c>
      <c r="R11" s="9"/>
      <c r="S11" s="19" t="n">
        <f aca="false">IF(OR(M11&lt;&gt;"",N11&lt;&gt;""),1,0)+IF(O11&lt;&gt;"",1,0)+IF(P11&lt;&gt;"",1,0)+IF(Q11&lt;&gt;"",1,0)+IF(R11&lt;&gt;"",1,0)</f>
        <v>4</v>
      </c>
      <c r="T11" s="9"/>
    </row>
    <row r="12" customFormat="false" ht="23.85" hidden="false" customHeight="false" outlineLevel="0" collapsed="false">
      <c r="A12" s="18" t="s">
        <v>146</v>
      </c>
      <c r="B12" s="9" t="s">
        <v>147</v>
      </c>
      <c r="C12" s="18" t="s">
        <v>148</v>
      </c>
      <c r="D12" s="9" t="s">
        <v>149</v>
      </c>
      <c r="E12" s="9" t="s">
        <v>107</v>
      </c>
      <c r="F12" s="9"/>
      <c r="G12" s="9"/>
      <c r="H12" s="21"/>
      <c r="I12" s="21"/>
      <c r="J12" s="21"/>
      <c r="K12" s="21"/>
      <c r="L12" s="21"/>
      <c r="M12" s="9" t="s">
        <v>150</v>
      </c>
      <c r="N12" s="9" t="s">
        <v>151</v>
      </c>
      <c r="O12" s="9" t="s">
        <v>123</v>
      </c>
      <c r="P12" s="9" t="s">
        <v>152</v>
      </c>
      <c r="Q12" s="9" t="s">
        <v>153</v>
      </c>
      <c r="R12" s="9"/>
      <c r="S12" s="19" t="n">
        <f aca="false">IF(OR(M12&lt;&gt;"",N12&lt;&gt;""),1,0)+IF(O12&lt;&gt;"",1,0)+IF(P12&lt;&gt;"",1,0)+IF(Q12&lt;&gt;"",1,0)+IF(R12&lt;&gt;"",1,0)</f>
        <v>4</v>
      </c>
      <c r="T12" s="9"/>
    </row>
    <row r="13" customFormat="false" ht="23.85" hidden="false" customHeight="false" outlineLevel="0" collapsed="false">
      <c r="A13" s="18" t="s">
        <v>154</v>
      </c>
      <c r="B13" s="9" t="s">
        <v>147</v>
      </c>
      <c r="C13" s="18" t="s">
        <v>155</v>
      </c>
      <c r="D13" s="9" t="s">
        <v>156</v>
      </c>
      <c r="E13" s="9" t="s">
        <v>107</v>
      </c>
      <c r="F13" s="9"/>
      <c r="G13" s="9"/>
      <c r="H13" s="21"/>
      <c r="I13" s="21"/>
      <c r="J13" s="21"/>
      <c r="K13" s="21"/>
      <c r="L13" s="21"/>
      <c r="M13" s="9" t="s">
        <v>157</v>
      </c>
      <c r="N13" s="9" t="s">
        <v>158</v>
      </c>
      <c r="O13" s="9" t="s">
        <v>159</v>
      </c>
      <c r="P13" s="9" t="s">
        <v>160</v>
      </c>
      <c r="Q13" s="9" t="s">
        <v>161</v>
      </c>
      <c r="R13" s="9"/>
      <c r="S13" s="19" t="n">
        <f aca="false">IF(OR(M13&lt;&gt;"",N13&lt;&gt;""),1,0)+IF(O13&lt;&gt;"",1,0)+IF(P13&lt;&gt;"",1,0)+IF(Q13&lt;&gt;"",1,0)+IF(R13&lt;&gt;"",1,0)</f>
        <v>4</v>
      </c>
      <c r="T13" s="9"/>
    </row>
    <row r="14" customFormat="false" ht="23.85" hidden="false" customHeight="false" outlineLevel="0" collapsed="false">
      <c r="A14" s="18" t="s">
        <v>162</v>
      </c>
      <c r="B14" s="9" t="s">
        <v>147</v>
      </c>
      <c r="C14" s="18" t="s">
        <v>163</v>
      </c>
      <c r="D14" s="9" t="s">
        <v>156</v>
      </c>
      <c r="E14" s="9" t="s">
        <v>107</v>
      </c>
      <c r="F14" s="9"/>
      <c r="G14" s="9"/>
      <c r="H14" s="21"/>
      <c r="I14" s="21"/>
      <c r="J14" s="21"/>
      <c r="K14" s="21"/>
      <c r="L14" s="21"/>
      <c r="M14" s="9" t="s">
        <v>164</v>
      </c>
      <c r="N14" s="9" t="s">
        <v>165</v>
      </c>
      <c r="O14" s="9" t="s">
        <v>166</v>
      </c>
      <c r="P14" s="9" t="s">
        <v>167</v>
      </c>
      <c r="Q14" s="9" t="s">
        <v>168</v>
      </c>
      <c r="R14" s="9"/>
      <c r="S14" s="19" t="n">
        <f aca="false">IF(OR(M14&lt;&gt;"",N14&lt;&gt;""),1,0)+IF(O14&lt;&gt;"",1,0)+IF(P14&lt;&gt;"",1,0)+IF(Q14&lt;&gt;"",1,0)+IF(R14&lt;&gt;"",1,0)</f>
        <v>4</v>
      </c>
      <c r="T14" s="9"/>
    </row>
    <row r="15" customFormat="false" ht="23.85" hidden="false" customHeight="false" outlineLevel="0" collapsed="false">
      <c r="A15" s="18" t="s">
        <v>169</v>
      </c>
      <c r="B15" s="9" t="s">
        <v>147</v>
      </c>
      <c r="C15" s="18" t="s">
        <v>170</v>
      </c>
      <c r="D15" s="9" t="s">
        <v>171</v>
      </c>
      <c r="E15" s="9" t="s">
        <v>107</v>
      </c>
      <c r="F15" s="9"/>
      <c r="G15" s="9"/>
      <c r="H15" s="21"/>
      <c r="I15" s="21"/>
      <c r="J15" s="21"/>
      <c r="K15" s="21"/>
      <c r="L15" s="21"/>
      <c r="M15" s="9" t="s">
        <v>172</v>
      </c>
      <c r="N15" s="9" t="s">
        <v>173</v>
      </c>
      <c r="O15" s="9" t="s">
        <v>174</v>
      </c>
      <c r="P15" s="9" t="s">
        <v>175</v>
      </c>
      <c r="Q15" s="9" t="s">
        <v>176</v>
      </c>
      <c r="R15" s="9"/>
      <c r="S15" s="19" t="n">
        <f aca="false">IF(OR(M15&lt;&gt;"",N15&lt;&gt;""),1,0)+IF(O15&lt;&gt;"",1,0)+IF(P15&lt;&gt;"",1,0)+IF(Q15&lt;&gt;"",1,0)+IF(R15&lt;&gt;"",1,0)</f>
        <v>4</v>
      </c>
      <c r="T15" s="9"/>
    </row>
    <row r="16" customFormat="false" ht="23.85" hidden="false" customHeight="false" outlineLevel="0" collapsed="false">
      <c r="A16" s="18" t="s">
        <v>177</v>
      </c>
      <c r="B16" s="9" t="s">
        <v>147</v>
      </c>
      <c r="C16" s="18" t="s">
        <v>178</v>
      </c>
      <c r="D16" s="9" t="s">
        <v>171</v>
      </c>
      <c r="E16" s="9" t="s">
        <v>107</v>
      </c>
      <c r="F16" s="9"/>
      <c r="G16" s="9"/>
      <c r="H16" s="21"/>
      <c r="I16" s="21"/>
      <c r="J16" s="21"/>
      <c r="K16" s="21"/>
      <c r="L16" s="21"/>
      <c r="M16" s="9" t="s">
        <v>179</v>
      </c>
      <c r="N16" s="9" t="s">
        <v>180</v>
      </c>
      <c r="O16" s="9" t="s">
        <v>181</v>
      </c>
      <c r="P16" s="9" t="s">
        <v>182</v>
      </c>
      <c r="Q16" s="9" t="s">
        <v>183</v>
      </c>
      <c r="R16" s="9"/>
      <c r="S16" s="19" t="n">
        <f aca="false">IF(OR(M16&lt;&gt;"",N16&lt;&gt;""),1,0)+IF(O16&lt;&gt;"",1,0)+IF(P16&lt;&gt;"",1,0)+IF(Q16&lt;&gt;"",1,0)+IF(R16&lt;&gt;"",1,0)</f>
        <v>4</v>
      </c>
      <c r="T16" s="9"/>
    </row>
    <row r="17" customFormat="false" ht="23.85" hidden="false" customHeight="false" outlineLevel="0" collapsed="false">
      <c r="A17" s="18" t="s">
        <v>184</v>
      </c>
      <c r="B17" s="9" t="s">
        <v>147</v>
      </c>
      <c r="C17" s="18" t="s">
        <v>185</v>
      </c>
      <c r="D17" s="9" t="s">
        <v>186</v>
      </c>
      <c r="E17" s="9" t="s">
        <v>107</v>
      </c>
      <c r="F17" s="9"/>
      <c r="G17" s="9"/>
      <c r="H17" s="21"/>
      <c r="I17" s="21"/>
      <c r="J17" s="21"/>
      <c r="K17" s="21"/>
      <c r="L17" s="21"/>
      <c r="M17" s="9" t="s">
        <v>187</v>
      </c>
      <c r="N17" s="9" t="s">
        <v>188</v>
      </c>
      <c r="O17" s="9" t="s">
        <v>123</v>
      </c>
      <c r="P17" s="9" t="s">
        <v>189</v>
      </c>
      <c r="Q17" s="9" t="s">
        <v>190</v>
      </c>
      <c r="R17" s="9"/>
      <c r="S17" s="19" t="n">
        <f aca="false">IF(OR(M17&lt;&gt;"",N17&lt;&gt;""),1,0)+IF(O17&lt;&gt;"",1,0)+IF(P17&lt;&gt;"",1,0)+IF(Q17&lt;&gt;"",1,0)+IF(R17&lt;&gt;"",1,0)</f>
        <v>4</v>
      </c>
      <c r="T17" s="9"/>
    </row>
    <row r="18" customFormat="false" ht="23.85" hidden="false" customHeight="false" outlineLevel="0" collapsed="false">
      <c r="A18" s="18" t="s">
        <v>191</v>
      </c>
      <c r="B18" s="9" t="s">
        <v>147</v>
      </c>
      <c r="C18" s="18" t="s">
        <v>192</v>
      </c>
      <c r="D18" s="9" t="s">
        <v>186</v>
      </c>
      <c r="E18" s="9" t="s">
        <v>107</v>
      </c>
      <c r="F18" s="9"/>
      <c r="G18" s="9"/>
      <c r="H18" s="21"/>
      <c r="I18" s="21"/>
      <c r="J18" s="21"/>
      <c r="K18" s="21"/>
      <c r="L18" s="21"/>
      <c r="M18" s="9" t="s">
        <v>193</v>
      </c>
      <c r="N18" s="9" t="s">
        <v>180</v>
      </c>
      <c r="O18" s="9" t="s">
        <v>194</v>
      </c>
      <c r="P18" s="9" t="s">
        <v>195</v>
      </c>
      <c r="Q18" s="9" t="s">
        <v>196</v>
      </c>
      <c r="R18" s="9"/>
      <c r="S18" s="19" t="n">
        <f aca="false">IF(OR(M18&lt;&gt;"",N18&lt;&gt;""),1,0)+IF(O18&lt;&gt;"",1,0)+IF(P18&lt;&gt;"",1,0)+IF(Q18&lt;&gt;"",1,0)+IF(R18&lt;&gt;"",1,0)</f>
        <v>4</v>
      </c>
      <c r="T18" s="9"/>
    </row>
    <row r="19" customFormat="false" ht="23.85" hidden="false" customHeight="false" outlineLevel="0" collapsed="false">
      <c r="A19" s="18" t="s">
        <v>197</v>
      </c>
      <c r="B19" s="9" t="s">
        <v>147</v>
      </c>
      <c r="C19" s="18" t="s">
        <v>198</v>
      </c>
      <c r="D19" s="9" t="s">
        <v>199</v>
      </c>
      <c r="E19" s="9" t="s">
        <v>107</v>
      </c>
      <c r="F19" s="9"/>
      <c r="G19" s="9"/>
      <c r="H19" s="21"/>
      <c r="I19" s="21"/>
      <c r="J19" s="21"/>
      <c r="K19" s="21"/>
      <c r="L19" s="21"/>
      <c r="M19" s="9" t="s">
        <v>200</v>
      </c>
      <c r="N19" s="9" t="s">
        <v>165</v>
      </c>
      <c r="O19" s="9" t="s">
        <v>136</v>
      </c>
      <c r="P19" s="9" t="s">
        <v>201</v>
      </c>
      <c r="Q19" s="9" t="s">
        <v>202</v>
      </c>
      <c r="R19" s="9"/>
      <c r="S19" s="19" t="n">
        <f aca="false">IF(OR(M19&lt;&gt;"",N19&lt;&gt;""),1,0)+IF(O19&lt;&gt;"",1,0)+IF(P19&lt;&gt;"",1,0)+IF(Q19&lt;&gt;"",1,0)+IF(R19&lt;&gt;"",1,0)</f>
        <v>4</v>
      </c>
      <c r="T19" s="9"/>
    </row>
    <row r="20" customFormat="false" ht="23.85" hidden="false" customHeight="false" outlineLevel="0" collapsed="false">
      <c r="A20" s="18" t="s">
        <v>203</v>
      </c>
      <c r="B20" s="9" t="s">
        <v>147</v>
      </c>
      <c r="C20" s="18" t="s">
        <v>204</v>
      </c>
      <c r="D20" s="9" t="s">
        <v>199</v>
      </c>
      <c r="E20" s="9" t="s">
        <v>107</v>
      </c>
      <c r="F20" s="9"/>
      <c r="G20" s="9"/>
      <c r="H20" s="21"/>
      <c r="I20" s="21"/>
      <c r="J20" s="21"/>
      <c r="K20" s="21"/>
      <c r="L20" s="21"/>
      <c r="M20" s="9" t="s">
        <v>205</v>
      </c>
      <c r="N20" s="9" t="s">
        <v>206</v>
      </c>
      <c r="O20" s="9" t="s">
        <v>166</v>
      </c>
      <c r="P20" s="9" t="s">
        <v>207</v>
      </c>
      <c r="Q20" s="9" t="s">
        <v>208</v>
      </c>
      <c r="R20" s="9"/>
      <c r="S20" s="19" t="n">
        <f aca="false">IF(OR(M20&lt;&gt;"",N20&lt;&gt;""),1,0)+IF(O20&lt;&gt;"",1,0)+IF(P20&lt;&gt;"",1,0)+IF(Q20&lt;&gt;"",1,0)+IF(R20&lt;&gt;"",1,0)</f>
        <v>4</v>
      </c>
      <c r="T20" s="9"/>
    </row>
    <row r="21" customFormat="false" ht="23.85" hidden="false" customHeight="false" outlineLevel="0" collapsed="false">
      <c r="A21" s="18" t="s">
        <v>209</v>
      </c>
      <c r="B21" s="9" t="s">
        <v>147</v>
      </c>
      <c r="C21" s="18" t="s">
        <v>210</v>
      </c>
      <c r="D21" s="9" t="s">
        <v>211</v>
      </c>
      <c r="E21" s="9" t="s">
        <v>107</v>
      </c>
      <c r="F21" s="9"/>
      <c r="G21" s="9"/>
      <c r="H21" s="21"/>
      <c r="I21" s="21"/>
      <c r="J21" s="21"/>
      <c r="K21" s="21"/>
      <c r="L21" s="21"/>
      <c r="M21" s="9" t="s">
        <v>212</v>
      </c>
      <c r="N21" s="9" t="s">
        <v>180</v>
      </c>
      <c r="O21" s="9" t="s">
        <v>213</v>
      </c>
      <c r="P21" s="9" t="s">
        <v>214</v>
      </c>
      <c r="Q21" s="9" t="s">
        <v>215</v>
      </c>
      <c r="R21" s="9"/>
      <c r="S21" s="19" t="n">
        <f aca="false">IF(OR(M21&lt;&gt;"",N21&lt;&gt;""),1,0)+IF(O21&lt;&gt;"",1,0)+IF(P21&lt;&gt;"",1,0)+IF(Q21&lt;&gt;"",1,0)+IF(R21&lt;&gt;"",1,0)</f>
        <v>4</v>
      </c>
      <c r="T21" s="9"/>
    </row>
    <row r="22" customFormat="false" ht="35.05" hidden="false" customHeight="false" outlineLevel="0" collapsed="false">
      <c r="A22" s="18" t="s">
        <v>216</v>
      </c>
      <c r="B22" s="9" t="s">
        <v>147</v>
      </c>
      <c r="C22" s="18" t="s">
        <v>217</v>
      </c>
      <c r="D22" s="9" t="s">
        <v>211</v>
      </c>
      <c r="E22" s="9" t="s">
        <v>107</v>
      </c>
      <c r="F22" s="9"/>
      <c r="G22" s="9"/>
      <c r="H22" s="21"/>
      <c r="I22" s="21"/>
      <c r="J22" s="21"/>
      <c r="K22" s="21"/>
      <c r="L22" s="21"/>
      <c r="M22" s="9" t="s">
        <v>115</v>
      </c>
      <c r="N22" s="9" t="s">
        <v>218</v>
      </c>
      <c r="O22" s="9" t="s">
        <v>181</v>
      </c>
      <c r="P22" s="9" t="s">
        <v>219</v>
      </c>
      <c r="Q22" s="9" t="s">
        <v>183</v>
      </c>
      <c r="R22" s="9"/>
      <c r="S22" s="19" t="n">
        <f aca="false">IF(OR(M22&lt;&gt;"",N22&lt;&gt;""),1,0)+IF(O22&lt;&gt;"",1,0)+IF(P22&lt;&gt;"",1,0)+IF(Q22&lt;&gt;"",1,0)+IF(R22&lt;&gt;"",1,0)</f>
        <v>4</v>
      </c>
      <c r="T22" s="9"/>
    </row>
    <row r="23" customFormat="false" ht="23.85" hidden="false" customHeight="false" outlineLevel="0" collapsed="false">
      <c r="A23" s="18" t="s">
        <v>220</v>
      </c>
      <c r="B23" s="9" t="s">
        <v>221</v>
      </c>
      <c r="C23" s="18" t="s">
        <v>222</v>
      </c>
      <c r="D23" s="9"/>
      <c r="E23" s="9" t="s">
        <v>61</v>
      </c>
      <c r="F23" s="9" t="s">
        <v>62</v>
      </c>
      <c r="G23" s="9" t="s">
        <v>63</v>
      </c>
      <c r="H23" s="21" t="s">
        <v>104</v>
      </c>
      <c r="I23" s="21"/>
      <c r="J23" s="21"/>
      <c r="K23" s="21"/>
      <c r="L23" s="21"/>
      <c r="M23" s="9" t="s">
        <v>223</v>
      </c>
      <c r="N23" s="9"/>
      <c r="O23" s="9" t="s">
        <v>224</v>
      </c>
      <c r="P23" s="9" t="s">
        <v>225</v>
      </c>
      <c r="Q23" s="9" t="s">
        <v>226</v>
      </c>
      <c r="R23" s="9"/>
      <c r="S23" s="19" t="n">
        <f aca="false">IF(OR(M23&lt;&gt;"",N23&lt;&gt;""),1,0)+IF(O23&lt;&gt;"",1,0)+IF(P23&lt;&gt;"",1,0)+IF(Q23&lt;&gt;"",1,0)+IF(R23&lt;&gt;"",1,0)</f>
        <v>4</v>
      </c>
      <c r="T23" s="9"/>
    </row>
    <row r="24" customFormat="false" ht="23.85" hidden="false" customHeight="false" outlineLevel="0" collapsed="false">
      <c r="A24" s="18" t="s">
        <v>227</v>
      </c>
      <c r="B24" s="9" t="s">
        <v>221</v>
      </c>
      <c r="C24" s="18" t="s">
        <v>228</v>
      </c>
      <c r="D24" s="9"/>
      <c r="E24" s="9" t="s">
        <v>61</v>
      </c>
      <c r="F24" s="9" t="s">
        <v>62</v>
      </c>
      <c r="G24" s="9" t="s">
        <v>63</v>
      </c>
      <c r="H24" s="21" t="s">
        <v>104</v>
      </c>
      <c r="I24" s="21"/>
      <c r="J24" s="21"/>
      <c r="K24" s="21"/>
      <c r="L24" s="21"/>
      <c r="M24" s="9" t="s">
        <v>229</v>
      </c>
      <c r="N24" s="9"/>
      <c r="O24" s="9" t="s">
        <v>230</v>
      </c>
      <c r="P24" s="9" t="s">
        <v>231</v>
      </c>
      <c r="Q24" s="9" t="s">
        <v>226</v>
      </c>
      <c r="R24" s="9"/>
      <c r="S24" s="19" t="n">
        <f aca="false">IF(OR(M24&lt;&gt;"",N24&lt;&gt;""),1,0)+IF(O24&lt;&gt;"",1,0)+IF(P24&lt;&gt;"",1,0)+IF(Q24&lt;&gt;"",1,0)+IF(R24&lt;&gt;"",1,0)</f>
        <v>4</v>
      </c>
      <c r="T24" s="9"/>
    </row>
    <row r="25" customFormat="false" ht="23.85" hidden="false" customHeight="false" outlineLevel="0" collapsed="false">
      <c r="A25" s="18" t="s">
        <v>232</v>
      </c>
      <c r="B25" s="9" t="s">
        <v>221</v>
      </c>
      <c r="C25" s="18" t="s">
        <v>233</v>
      </c>
      <c r="D25" s="9"/>
      <c r="E25" s="9" t="s">
        <v>61</v>
      </c>
      <c r="F25" s="9" t="s">
        <v>62</v>
      </c>
      <c r="G25" s="9" t="s">
        <v>63</v>
      </c>
      <c r="H25" s="21" t="s">
        <v>104</v>
      </c>
      <c r="I25" s="21"/>
      <c r="J25" s="21"/>
      <c r="K25" s="21"/>
      <c r="L25" s="21"/>
      <c r="M25" s="9" t="s">
        <v>234</v>
      </c>
      <c r="N25" s="9"/>
      <c r="O25" s="9" t="s">
        <v>235</v>
      </c>
      <c r="P25" s="9" t="s">
        <v>236</v>
      </c>
      <c r="Q25" s="9" t="s">
        <v>161</v>
      </c>
      <c r="R25" s="9"/>
      <c r="S25" s="19" t="n">
        <f aca="false">IF(OR(M25&lt;&gt;"",N25&lt;&gt;""),1,0)+IF(O25&lt;&gt;"",1,0)+IF(P25&lt;&gt;"",1,0)+IF(Q25&lt;&gt;"",1,0)+IF(R25&lt;&gt;"",1,0)</f>
        <v>4</v>
      </c>
      <c r="T25" s="9"/>
    </row>
    <row r="26" customFormat="false" ht="23.85" hidden="false" customHeight="false" outlineLevel="0" collapsed="false">
      <c r="A26" s="18" t="s">
        <v>237</v>
      </c>
      <c r="B26" s="9" t="s">
        <v>221</v>
      </c>
      <c r="C26" s="18" t="s">
        <v>238</v>
      </c>
      <c r="D26" s="9"/>
      <c r="E26" s="9" t="s">
        <v>61</v>
      </c>
      <c r="F26" s="9" t="s">
        <v>62</v>
      </c>
      <c r="G26" s="9" t="s">
        <v>63</v>
      </c>
      <c r="H26" s="21" t="s">
        <v>104</v>
      </c>
      <c r="I26" s="21"/>
      <c r="J26" s="21"/>
      <c r="K26" s="21"/>
      <c r="L26" s="21"/>
      <c r="M26" s="9" t="s">
        <v>239</v>
      </c>
      <c r="N26" s="9"/>
      <c r="O26" s="9" t="s">
        <v>240</v>
      </c>
      <c r="P26" s="9" t="s">
        <v>241</v>
      </c>
      <c r="Q26" s="9" t="s">
        <v>183</v>
      </c>
      <c r="R26" s="9"/>
      <c r="S26" s="19" t="n">
        <f aca="false">IF(OR(M26&lt;&gt;"",N26&lt;&gt;""),1,0)+IF(O26&lt;&gt;"",1,0)+IF(P26&lt;&gt;"",1,0)+IF(Q26&lt;&gt;"",1,0)+IF(R26&lt;&gt;"",1,0)</f>
        <v>4</v>
      </c>
      <c r="T26" s="9"/>
    </row>
    <row r="27" customFormat="false" ht="23.85" hidden="false" customHeight="false" outlineLevel="0" collapsed="false">
      <c r="A27" s="18" t="s">
        <v>242</v>
      </c>
      <c r="B27" s="9" t="s">
        <v>221</v>
      </c>
      <c r="C27" s="18" t="s">
        <v>243</v>
      </c>
      <c r="D27" s="9"/>
      <c r="E27" s="9" t="s">
        <v>61</v>
      </c>
      <c r="F27" s="9" t="s">
        <v>62</v>
      </c>
      <c r="G27" s="9" t="s">
        <v>63</v>
      </c>
      <c r="H27" s="21" t="s">
        <v>104</v>
      </c>
      <c r="I27" s="21"/>
      <c r="J27" s="21"/>
      <c r="K27" s="21"/>
      <c r="L27" s="21"/>
      <c r="M27" s="9" t="s">
        <v>244</v>
      </c>
      <c r="N27" s="9"/>
      <c r="O27" s="9" t="s">
        <v>240</v>
      </c>
      <c r="P27" s="9" t="s">
        <v>245</v>
      </c>
      <c r="Q27" s="9" t="s">
        <v>183</v>
      </c>
      <c r="R27" s="9"/>
      <c r="S27" s="19" t="n">
        <f aca="false">IF(OR(M27&lt;&gt;"",N27&lt;&gt;""),1,0)+IF(O27&lt;&gt;"",1,0)+IF(P27&lt;&gt;"",1,0)+IF(Q27&lt;&gt;"",1,0)+IF(R27&lt;&gt;"",1,0)</f>
        <v>4</v>
      </c>
      <c r="T27" s="9"/>
    </row>
    <row r="28" customFormat="false" ht="23.85" hidden="false" customHeight="false" outlineLevel="0" collapsed="false">
      <c r="A28" s="18" t="s">
        <v>246</v>
      </c>
      <c r="B28" s="9" t="s">
        <v>221</v>
      </c>
      <c r="C28" s="18" t="s">
        <v>247</v>
      </c>
      <c r="D28" s="9"/>
      <c r="E28" s="9" t="s">
        <v>61</v>
      </c>
      <c r="F28" s="9" t="s">
        <v>62</v>
      </c>
      <c r="G28" s="9" t="s">
        <v>63</v>
      </c>
      <c r="H28" s="21" t="s">
        <v>104</v>
      </c>
      <c r="I28" s="21"/>
      <c r="J28" s="21"/>
      <c r="K28" s="21"/>
      <c r="L28" s="21"/>
      <c r="M28" s="9" t="s">
        <v>248</v>
      </c>
      <c r="N28" s="9"/>
      <c r="O28" s="9" t="s">
        <v>194</v>
      </c>
      <c r="P28" s="9" t="s">
        <v>249</v>
      </c>
      <c r="Q28" s="9" t="s">
        <v>196</v>
      </c>
      <c r="R28" s="9"/>
      <c r="S28" s="19" t="n">
        <f aca="false">IF(OR(M28&lt;&gt;"",N28&lt;&gt;""),1,0)+IF(O28&lt;&gt;"",1,0)+IF(P28&lt;&gt;"",1,0)+IF(Q28&lt;&gt;"",1,0)+IF(R28&lt;&gt;"",1,0)</f>
        <v>4</v>
      </c>
      <c r="T28" s="9"/>
    </row>
    <row r="29" customFormat="false" ht="23.85" hidden="false" customHeight="false" outlineLevel="0" collapsed="false">
      <c r="A29" s="18" t="s">
        <v>250</v>
      </c>
      <c r="B29" s="9" t="s">
        <v>221</v>
      </c>
      <c r="C29" s="18" t="s">
        <v>251</v>
      </c>
      <c r="D29" s="9"/>
      <c r="E29" s="9" t="s">
        <v>61</v>
      </c>
      <c r="F29" s="9" t="s">
        <v>62</v>
      </c>
      <c r="G29" s="9" t="s">
        <v>63</v>
      </c>
      <c r="H29" s="21" t="s">
        <v>104</v>
      </c>
      <c r="I29" s="21"/>
      <c r="J29" s="21"/>
      <c r="K29" s="21"/>
      <c r="L29" s="21"/>
      <c r="M29" s="9" t="s">
        <v>252</v>
      </c>
      <c r="N29" s="9"/>
      <c r="O29" s="9" t="s">
        <v>230</v>
      </c>
      <c r="P29" s="9" t="s">
        <v>253</v>
      </c>
      <c r="Q29" s="9" t="s">
        <v>226</v>
      </c>
      <c r="R29" s="9"/>
      <c r="S29" s="19" t="n">
        <f aca="false">IF(OR(M29&lt;&gt;"",N29&lt;&gt;""),1,0)+IF(O29&lt;&gt;"",1,0)+IF(P29&lt;&gt;"",1,0)+IF(Q29&lt;&gt;"",1,0)+IF(R29&lt;&gt;"",1,0)</f>
        <v>4</v>
      </c>
      <c r="T29" s="9"/>
    </row>
    <row r="30" customFormat="false" ht="23.85" hidden="false" customHeight="false" outlineLevel="0" collapsed="false">
      <c r="A30" s="18" t="s">
        <v>254</v>
      </c>
      <c r="B30" s="9" t="s">
        <v>221</v>
      </c>
      <c r="C30" s="18" t="s">
        <v>255</v>
      </c>
      <c r="D30" s="9"/>
      <c r="E30" s="9" t="s">
        <v>61</v>
      </c>
      <c r="F30" s="9" t="s">
        <v>62</v>
      </c>
      <c r="G30" s="9" t="s">
        <v>63</v>
      </c>
      <c r="H30" s="21" t="s">
        <v>104</v>
      </c>
      <c r="I30" s="21"/>
      <c r="J30" s="21"/>
      <c r="K30" s="21"/>
      <c r="L30" s="21"/>
      <c r="M30" s="9" t="s">
        <v>256</v>
      </c>
      <c r="N30" s="9"/>
      <c r="O30" s="9" t="s">
        <v>224</v>
      </c>
      <c r="P30" s="9" t="s">
        <v>257</v>
      </c>
      <c r="Q30" s="9" t="s">
        <v>226</v>
      </c>
      <c r="R30" s="9"/>
      <c r="S30" s="19" t="n">
        <f aca="false">IF(OR(M30&lt;&gt;"",N30&lt;&gt;""),1,0)+IF(O30&lt;&gt;"",1,0)+IF(P30&lt;&gt;"",1,0)+IF(Q30&lt;&gt;"",1,0)+IF(R30&lt;&gt;"",1,0)</f>
        <v>4</v>
      </c>
      <c r="T30" s="9"/>
    </row>
    <row r="31" customFormat="false" ht="23.85" hidden="false" customHeight="false" outlineLevel="0" collapsed="false">
      <c r="A31" s="18" t="s">
        <v>258</v>
      </c>
      <c r="B31" s="9" t="s">
        <v>221</v>
      </c>
      <c r="C31" s="18" t="s">
        <v>259</v>
      </c>
      <c r="D31" s="9" t="s">
        <v>149</v>
      </c>
      <c r="E31" s="9" t="s">
        <v>61</v>
      </c>
      <c r="F31" s="9" t="s">
        <v>62</v>
      </c>
      <c r="G31" s="9" t="s">
        <v>63</v>
      </c>
      <c r="H31" s="21" t="s">
        <v>104</v>
      </c>
      <c r="I31" s="21"/>
      <c r="J31" s="21"/>
      <c r="K31" s="21"/>
      <c r="L31" s="21"/>
      <c r="M31" s="9"/>
      <c r="N31" s="9"/>
      <c r="O31" s="9" t="s">
        <v>260</v>
      </c>
      <c r="P31" s="9" t="s">
        <v>261</v>
      </c>
      <c r="Q31" s="9" t="s">
        <v>226</v>
      </c>
      <c r="R31" s="9"/>
      <c r="S31" s="19" t="n">
        <f aca="false">IF(OR(M31&lt;&gt;"",N31&lt;&gt;""),1,0)+IF(O31&lt;&gt;"",1,0)+IF(P31&lt;&gt;"",1,0)+IF(Q31&lt;&gt;"",1,0)+IF(R31&lt;&gt;"",1,0)</f>
        <v>3</v>
      </c>
      <c r="T31" s="9"/>
    </row>
    <row r="32" customFormat="false" ht="23.85" hidden="false" customHeight="false" outlineLevel="0" collapsed="false">
      <c r="A32" s="18" t="s">
        <v>262</v>
      </c>
      <c r="B32" s="9" t="s">
        <v>221</v>
      </c>
      <c r="C32" s="18" t="s">
        <v>263</v>
      </c>
      <c r="D32" s="9" t="s">
        <v>149</v>
      </c>
      <c r="E32" s="9" t="s">
        <v>61</v>
      </c>
      <c r="F32" s="9" t="s">
        <v>62</v>
      </c>
      <c r="G32" s="9" t="s">
        <v>63</v>
      </c>
      <c r="H32" s="21" t="s">
        <v>104</v>
      </c>
      <c r="I32" s="21"/>
      <c r="J32" s="21"/>
      <c r="K32" s="21"/>
      <c r="L32" s="21"/>
      <c r="M32" s="9"/>
      <c r="N32" s="9"/>
      <c r="O32" s="9" t="s">
        <v>260</v>
      </c>
      <c r="P32" s="9" t="s">
        <v>264</v>
      </c>
      <c r="Q32" s="9" t="s">
        <v>265</v>
      </c>
      <c r="R32" s="9"/>
      <c r="S32" s="19" t="n">
        <f aca="false">IF(OR(M32&lt;&gt;"",N32&lt;&gt;""),1,0)+IF(O32&lt;&gt;"",1,0)+IF(P32&lt;&gt;"",1,0)+IF(Q32&lt;&gt;"",1,0)+IF(R32&lt;&gt;"",1,0)</f>
        <v>3</v>
      </c>
      <c r="T32" s="9"/>
    </row>
    <row r="33" customFormat="false" ht="23.85" hidden="false" customHeight="false" outlineLevel="0" collapsed="false">
      <c r="A33" s="18" t="s">
        <v>266</v>
      </c>
      <c r="B33" s="9" t="s">
        <v>221</v>
      </c>
      <c r="C33" s="18" t="s">
        <v>267</v>
      </c>
      <c r="D33" s="9" t="s">
        <v>156</v>
      </c>
      <c r="E33" s="9" t="s">
        <v>61</v>
      </c>
      <c r="F33" s="9" t="s">
        <v>62</v>
      </c>
      <c r="G33" s="9" t="s">
        <v>63</v>
      </c>
      <c r="H33" s="21" t="s">
        <v>104</v>
      </c>
      <c r="I33" s="21"/>
      <c r="J33" s="21"/>
      <c r="K33" s="21"/>
      <c r="L33" s="21"/>
      <c r="M33" s="9"/>
      <c r="N33" s="9"/>
      <c r="O33" s="9" t="s">
        <v>260</v>
      </c>
      <c r="P33" s="9" t="s">
        <v>268</v>
      </c>
      <c r="Q33" s="9" t="s">
        <v>161</v>
      </c>
      <c r="R33" s="9"/>
      <c r="S33" s="19" t="n">
        <f aca="false">IF(OR(M33&lt;&gt;"",N33&lt;&gt;""),1,0)+IF(O33&lt;&gt;"",1,0)+IF(P33&lt;&gt;"",1,0)+IF(Q33&lt;&gt;"",1,0)+IF(R33&lt;&gt;"",1,0)</f>
        <v>3</v>
      </c>
      <c r="T33" s="9"/>
    </row>
    <row r="34" customFormat="false" ht="23.85" hidden="false" customHeight="false" outlineLevel="0" collapsed="false">
      <c r="A34" s="18" t="s">
        <v>269</v>
      </c>
      <c r="B34" s="9" t="s">
        <v>221</v>
      </c>
      <c r="C34" s="18" t="s">
        <v>270</v>
      </c>
      <c r="D34" s="9" t="s">
        <v>156</v>
      </c>
      <c r="E34" s="9" t="s">
        <v>61</v>
      </c>
      <c r="F34" s="9" t="s">
        <v>62</v>
      </c>
      <c r="G34" s="9" t="s">
        <v>63</v>
      </c>
      <c r="H34" s="21" t="s">
        <v>104</v>
      </c>
      <c r="I34" s="21"/>
      <c r="J34" s="21"/>
      <c r="K34" s="21"/>
      <c r="L34" s="21"/>
      <c r="M34" s="9"/>
      <c r="N34" s="9"/>
      <c r="O34" s="9" t="s">
        <v>260</v>
      </c>
      <c r="P34" s="9" t="s">
        <v>253</v>
      </c>
      <c r="Q34" s="9" t="s">
        <v>226</v>
      </c>
      <c r="R34" s="9"/>
      <c r="S34" s="19" t="n">
        <f aca="false">IF(OR(M34&lt;&gt;"",N34&lt;&gt;""),1,0)+IF(O34&lt;&gt;"",1,0)+IF(P34&lt;&gt;"",1,0)+IF(Q34&lt;&gt;"",1,0)+IF(R34&lt;&gt;"",1,0)</f>
        <v>3</v>
      </c>
      <c r="T34" s="9"/>
    </row>
    <row r="35" customFormat="false" ht="23.85" hidden="false" customHeight="false" outlineLevel="0" collapsed="false">
      <c r="A35" s="18" t="s">
        <v>271</v>
      </c>
      <c r="B35" s="9" t="s">
        <v>221</v>
      </c>
      <c r="C35" s="18" t="s">
        <v>272</v>
      </c>
      <c r="D35" s="9" t="s">
        <v>171</v>
      </c>
      <c r="E35" s="9" t="s">
        <v>61</v>
      </c>
      <c r="F35" s="9" t="s">
        <v>62</v>
      </c>
      <c r="G35" s="9" t="s">
        <v>63</v>
      </c>
      <c r="H35" s="21" t="s">
        <v>104</v>
      </c>
      <c r="I35" s="21"/>
      <c r="J35" s="21"/>
      <c r="K35" s="21"/>
      <c r="L35" s="21"/>
      <c r="M35" s="9"/>
      <c r="N35" s="9"/>
      <c r="O35" s="9" t="s">
        <v>273</v>
      </c>
      <c r="P35" s="9" t="s">
        <v>274</v>
      </c>
      <c r="Q35" s="9" t="s">
        <v>183</v>
      </c>
      <c r="R35" s="9"/>
      <c r="S35" s="19" t="n">
        <f aca="false">IF(OR(M35&lt;&gt;"",N35&lt;&gt;""),1,0)+IF(O35&lt;&gt;"",1,0)+IF(P35&lt;&gt;"",1,0)+IF(Q35&lt;&gt;"",1,0)+IF(R35&lt;&gt;"",1,0)</f>
        <v>3</v>
      </c>
      <c r="T35" s="9"/>
    </row>
    <row r="36" customFormat="false" ht="23.85" hidden="false" customHeight="false" outlineLevel="0" collapsed="false">
      <c r="A36" s="18" t="s">
        <v>275</v>
      </c>
      <c r="B36" s="9" t="s">
        <v>221</v>
      </c>
      <c r="C36" s="18" t="s">
        <v>276</v>
      </c>
      <c r="D36" s="9" t="s">
        <v>171</v>
      </c>
      <c r="E36" s="9" t="s">
        <v>61</v>
      </c>
      <c r="F36" s="9" t="s">
        <v>62</v>
      </c>
      <c r="G36" s="9" t="s">
        <v>63</v>
      </c>
      <c r="H36" s="21" t="s">
        <v>104</v>
      </c>
      <c r="I36" s="21"/>
      <c r="J36" s="21"/>
      <c r="K36" s="21"/>
      <c r="L36" s="21"/>
      <c r="M36" s="9"/>
      <c r="N36" s="9"/>
      <c r="O36" s="9" t="s">
        <v>273</v>
      </c>
      <c r="P36" s="9" t="s">
        <v>277</v>
      </c>
      <c r="Q36" s="9" t="s">
        <v>183</v>
      </c>
      <c r="R36" s="9"/>
      <c r="S36" s="19" t="n">
        <f aca="false">IF(OR(M36&lt;&gt;"",N36&lt;&gt;""),1,0)+IF(O36&lt;&gt;"",1,0)+IF(P36&lt;&gt;"",1,0)+IF(Q36&lt;&gt;"",1,0)+IF(R36&lt;&gt;"",1,0)</f>
        <v>3</v>
      </c>
      <c r="T36" s="9"/>
    </row>
    <row r="37" customFormat="false" ht="23.85" hidden="false" customHeight="false" outlineLevel="0" collapsed="false">
      <c r="A37" s="18" t="s">
        <v>278</v>
      </c>
      <c r="B37" s="9" t="s">
        <v>221</v>
      </c>
      <c r="C37" s="18" t="s">
        <v>279</v>
      </c>
      <c r="D37" s="9" t="s">
        <v>186</v>
      </c>
      <c r="E37" s="9" t="s">
        <v>61</v>
      </c>
      <c r="F37" s="9" t="s">
        <v>62</v>
      </c>
      <c r="G37" s="9" t="s">
        <v>63</v>
      </c>
      <c r="H37" s="21" t="s">
        <v>104</v>
      </c>
      <c r="I37" s="21"/>
      <c r="J37" s="21"/>
      <c r="K37" s="21"/>
      <c r="L37" s="21"/>
      <c r="M37" s="9"/>
      <c r="N37" s="9"/>
      <c r="O37" s="9" t="s">
        <v>260</v>
      </c>
      <c r="P37" s="9" t="s">
        <v>231</v>
      </c>
      <c r="Q37" s="9" t="s">
        <v>226</v>
      </c>
      <c r="R37" s="9"/>
      <c r="S37" s="19" t="n">
        <f aca="false">IF(OR(M37&lt;&gt;"",N37&lt;&gt;""),1,0)+IF(O37&lt;&gt;"",1,0)+IF(P37&lt;&gt;"",1,0)+IF(Q37&lt;&gt;"",1,0)+IF(R37&lt;&gt;"",1,0)</f>
        <v>3</v>
      </c>
      <c r="T37" s="9"/>
    </row>
    <row r="38" customFormat="false" ht="23.85" hidden="false" customHeight="false" outlineLevel="0" collapsed="false">
      <c r="A38" s="18" t="s">
        <v>280</v>
      </c>
      <c r="B38" s="9" t="s">
        <v>221</v>
      </c>
      <c r="C38" s="18" t="s">
        <v>281</v>
      </c>
      <c r="D38" s="9" t="s">
        <v>186</v>
      </c>
      <c r="E38" s="9" t="s">
        <v>61</v>
      </c>
      <c r="F38" s="9" t="s">
        <v>62</v>
      </c>
      <c r="G38" s="9" t="s">
        <v>63</v>
      </c>
      <c r="H38" s="21" t="s">
        <v>104</v>
      </c>
      <c r="I38" s="21"/>
      <c r="J38" s="21"/>
      <c r="K38" s="21"/>
      <c r="L38" s="21"/>
      <c r="M38" s="9"/>
      <c r="N38" s="9"/>
      <c r="O38" s="9" t="s">
        <v>282</v>
      </c>
      <c r="P38" s="9" t="s">
        <v>231</v>
      </c>
      <c r="Q38" s="9" t="s">
        <v>226</v>
      </c>
      <c r="R38" s="9"/>
      <c r="S38" s="19" t="n">
        <f aca="false">IF(OR(M38&lt;&gt;"",N38&lt;&gt;""),1,0)+IF(O38&lt;&gt;"",1,0)+IF(P38&lt;&gt;"",1,0)+IF(Q38&lt;&gt;"",1,0)+IF(R38&lt;&gt;"",1,0)</f>
        <v>3</v>
      </c>
      <c r="T38" s="9"/>
    </row>
    <row r="39" customFormat="false" ht="23.85" hidden="false" customHeight="false" outlineLevel="0" collapsed="false">
      <c r="A39" s="18" t="s">
        <v>283</v>
      </c>
      <c r="B39" s="9" t="s">
        <v>221</v>
      </c>
      <c r="C39" s="18" t="s">
        <v>284</v>
      </c>
      <c r="D39" s="9" t="s">
        <v>199</v>
      </c>
      <c r="E39" s="9" t="s">
        <v>61</v>
      </c>
      <c r="F39" s="9" t="s">
        <v>62</v>
      </c>
      <c r="G39" s="9" t="s">
        <v>63</v>
      </c>
      <c r="H39" s="21" t="s">
        <v>104</v>
      </c>
      <c r="I39" s="21"/>
      <c r="J39" s="21"/>
      <c r="K39" s="21"/>
      <c r="L39" s="21"/>
      <c r="M39" s="9"/>
      <c r="N39" s="9"/>
      <c r="O39" s="9" t="s">
        <v>282</v>
      </c>
      <c r="P39" s="9" t="s">
        <v>231</v>
      </c>
      <c r="Q39" s="9" t="s">
        <v>226</v>
      </c>
      <c r="R39" s="9"/>
      <c r="S39" s="19" t="n">
        <f aca="false">IF(OR(M39&lt;&gt;"",N39&lt;&gt;""),1,0)+IF(O39&lt;&gt;"",1,0)+IF(P39&lt;&gt;"",1,0)+IF(Q39&lt;&gt;"",1,0)+IF(R39&lt;&gt;"",1,0)</f>
        <v>3</v>
      </c>
      <c r="T39" s="9"/>
    </row>
    <row r="40" customFormat="false" ht="23.85" hidden="false" customHeight="false" outlineLevel="0" collapsed="false">
      <c r="A40" s="18" t="s">
        <v>285</v>
      </c>
      <c r="B40" s="9" t="s">
        <v>221</v>
      </c>
      <c r="C40" s="18" t="s">
        <v>286</v>
      </c>
      <c r="D40" s="9" t="s">
        <v>199</v>
      </c>
      <c r="E40" s="9" t="s">
        <v>61</v>
      </c>
      <c r="F40" s="9" t="s">
        <v>62</v>
      </c>
      <c r="G40" s="9" t="s">
        <v>63</v>
      </c>
      <c r="H40" s="21" t="s">
        <v>104</v>
      </c>
      <c r="I40" s="21"/>
      <c r="J40" s="21"/>
      <c r="K40" s="21"/>
      <c r="L40" s="21"/>
      <c r="M40" s="9"/>
      <c r="N40" s="9"/>
      <c r="O40" s="9" t="s">
        <v>260</v>
      </c>
      <c r="P40" s="9" t="s">
        <v>287</v>
      </c>
      <c r="Q40" s="9" t="s">
        <v>190</v>
      </c>
      <c r="R40" s="9"/>
      <c r="S40" s="19" t="n">
        <f aca="false">IF(OR(M40&lt;&gt;"",N40&lt;&gt;""),1,0)+IF(O40&lt;&gt;"",1,0)+IF(P40&lt;&gt;"",1,0)+IF(Q40&lt;&gt;"",1,0)+IF(R40&lt;&gt;"",1,0)</f>
        <v>3</v>
      </c>
      <c r="T40" s="9"/>
    </row>
    <row r="41" customFormat="false" ht="23.85" hidden="false" customHeight="false" outlineLevel="0" collapsed="false">
      <c r="A41" s="18" t="s">
        <v>288</v>
      </c>
      <c r="B41" s="9" t="s">
        <v>221</v>
      </c>
      <c r="C41" s="18" t="s">
        <v>289</v>
      </c>
      <c r="D41" s="9"/>
      <c r="E41" s="9" t="s">
        <v>65</v>
      </c>
      <c r="F41" s="9" t="s">
        <v>66</v>
      </c>
      <c r="G41" s="9" t="s">
        <v>67</v>
      </c>
      <c r="H41" s="21"/>
      <c r="I41" s="21" t="s">
        <v>104</v>
      </c>
      <c r="J41" s="21"/>
      <c r="K41" s="21"/>
      <c r="L41" s="21"/>
      <c r="M41" s="9" t="s">
        <v>290</v>
      </c>
      <c r="N41" s="9"/>
      <c r="O41" s="9" t="s">
        <v>291</v>
      </c>
      <c r="P41" s="9" t="s">
        <v>292</v>
      </c>
      <c r="Q41" s="9" t="s">
        <v>176</v>
      </c>
      <c r="R41" s="9"/>
      <c r="S41" s="19" t="n">
        <f aca="false">IF(OR(M41&lt;&gt;"",N41&lt;&gt;""),1,0)+IF(O41&lt;&gt;"",1,0)+IF(P41&lt;&gt;"",1,0)+IF(Q41&lt;&gt;"",1,0)+IF(R41&lt;&gt;"",1,0)</f>
        <v>4</v>
      </c>
      <c r="T41" s="9"/>
    </row>
    <row r="42" customFormat="false" ht="23.85" hidden="false" customHeight="false" outlineLevel="0" collapsed="false">
      <c r="A42" s="18" t="s">
        <v>293</v>
      </c>
      <c r="B42" s="9" t="s">
        <v>221</v>
      </c>
      <c r="C42" s="18" t="s">
        <v>294</v>
      </c>
      <c r="D42" s="9"/>
      <c r="E42" s="9" t="s">
        <v>65</v>
      </c>
      <c r="F42" s="9" t="s">
        <v>66</v>
      </c>
      <c r="G42" s="9" t="s">
        <v>67</v>
      </c>
      <c r="H42" s="21"/>
      <c r="I42" s="21" t="s">
        <v>104</v>
      </c>
      <c r="J42" s="21"/>
      <c r="K42" s="21"/>
      <c r="L42" s="21"/>
      <c r="M42" s="9" t="s">
        <v>295</v>
      </c>
      <c r="N42" s="9"/>
      <c r="O42" s="9" t="s">
        <v>296</v>
      </c>
      <c r="P42" s="9" t="s">
        <v>297</v>
      </c>
      <c r="Q42" s="9" t="s">
        <v>176</v>
      </c>
      <c r="R42" s="9"/>
      <c r="S42" s="19" t="n">
        <f aca="false">IF(OR(M42&lt;&gt;"",N42&lt;&gt;""),1,0)+IF(O42&lt;&gt;"",1,0)+IF(P42&lt;&gt;"",1,0)+IF(Q42&lt;&gt;"",1,0)+IF(R42&lt;&gt;"",1,0)</f>
        <v>4</v>
      </c>
      <c r="T42" s="9"/>
    </row>
    <row r="43" customFormat="false" ht="23.85" hidden="false" customHeight="false" outlineLevel="0" collapsed="false">
      <c r="A43" s="18" t="s">
        <v>298</v>
      </c>
      <c r="B43" s="9" t="s">
        <v>221</v>
      </c>
      <c r="C43" s="18" t="s">
        <v>299</v>
      </c>
      <c r="D43" s="9"/>
      <c r="E43" s="9" t="s">
        <v>65</v>
      </c>
      <c r="F43" s="9" t="s">
        <v>66</v>
      </c>
      <c r="G43" s="9" t="s">
        <v>67</v>
      </c>
      <c r="H43" s="21"/>
      <c r="I43" s="21" t="s">
        <v>104</v>
      </c>
      <c r="J43" s="21"/>
      <c r="K43" s="21"/>
      <c r="L43" s="21"/>
      <c r="M43" s="9" t="s">
        <v>300</v>
      </c>
      <c r="N43" s="9"/>
      <c r="O43" s="9" t="s">
        <v>136</v>
      </c>
      <c r="P43" s="9" t="s">
        <v>301</v>
      </c>
      <c r="Q43" s="9" t="s">
        <v>202</v>
      </c>
      <c r="R43" s="9"/>
      <c r="S43" s="19" t="n">
        <f aca="false">IF(OR(M43&lt;&gt;"",N43&lt;&gt;""),1,0)+IF(O43&lt;&gt;"",1,0)+IF(P43&lt;&gt;"",1,0)+IF(Q43&lt;&gt;"",1,0)+IF(R43&lt;&gt;"",1,0)</f>
        <v>4</v>
      </c>
      <c r="T43" s="9"/>
    </row>
    <row r="44" customFormat="false" ht="23.85" hidden="false" customHeight="false" outlineLevel="0" collapsed="false">
      <c r="A44" s="18" t="s">
        <v>302</v>
      </c>
      <c r="B44" s="9" t="s">
        <v>221</v>
      </c>
      <c r="C44" s="18" t="s">
        <v>303</v>
      </c>
      <c r="D44" s="9"/>
      <c r="E44" s="9" t="s">
        <v>65</v>
      </c>
      <c r="F44" s="9" t="s">
        <v>66</v>
      </c>
      <c r="G44" s="9" t="s">
        <v>67</v>
      </c>
      <c r="H44" s="21"/>
      <c r="I44" s="21" t="s">
        <v>104</v>
      </c>
      <c r="J44" s="21"/>
      <c r="K44" s="21"/>
      <c r="L44" s="21"/>
      <c r="M44" s="9" t="s">
        <v>304</v>
      </c>
      <c r="N44" s="9"/>
      <c r="O44" s="9" t="s">
        <v>166</v>
      </c>
      <c r="P44" s="9" t="s">
        <v>305</v>
      </c>
      <c r="Q44" s="9" t="s">
        <v>161</v>
      </c>
      <c r="R44" s="9"/>
      <c r="S44" s="19" t="n">
        <f aca="false">IF(OR(M44&lt;&gt;"",N44&lt;&gt;""),1,0)+IF(O44&lt;&gt;"",1,0)+IF(P44&lt;&gt;"",1,0)+IF(Q44&lt;&gt;"",1,0)+IF(R44&lt;&gt;"",1,0)</f>
        <v>4</v>
      </c>
      <c r="T44" s="9"/>
    </row>
    <row r="45" customFormat="false" ht="23.85" hidden="false" customHeight="false" outlineLevel="0" collapsed="false">
      <c r="A45" s="18" t="s">
        <v>306</v>
      </c>
      <c r="B45" s="9" t="s">
        <v>221</v>
      </c>
      <c r="C45" s="18" t="s">
        <v>307</v>
      </c>
      <c r="D45" s="9" t="s">
        <v>149</v>
      </c>
      <c r="E45" s="9" t="s">
        <v>65</v>
      </c>
      <c r="F45" s="9" t="s">
        <v>66</v>
      </c>
      <c r="G45" s="9" t="s">
        <v>67</v>
      </c>
      <c r="H45" s="21"/>
      <c r="I45" s="21" t="s">
        <v>104</v>
      </c>
      <c r="J45" s="21"/>
      <c r="K45" s="21"/>
      <c r="L45" s="21"/>
      <c r="M45" s="9"/>
      <c r="N45" s="9"/>
      <c r="O45" s="9" t="s">
        <v>308</v>
      </c>
      <c r="P45" s="9" t="s">
        <v>309</v>
      </c>
      <c r="Q45" s="9" t="s">
        <v>161</v>
      </c>
      <c r="R45" s="9"/>
      <c r="S45" s="19" t="n">
        <f aca="false">IF(OR(M45&lt;&gt;"",N45&lt;&gt;""),1,0)+IF(O45&lt;&gt;"",1,0)+IF(P45&lt;&gt;"",1,0)+IF(Q45&lt;&gt;"",1,0)+IF(R45&lt;&gt;"",1,0)</f>
        <v>3</v>
      </c>
      <c r="T45" s="9"/>
    </row>
    <row r="46" customFormat="false" ht="23.85" hidden="false" customHeight="false" outlineLevel="0" collapsed="false">
      <c r="A46" s="18" t="s">
        <v>310</v>
      </c>
      <c r="B46" s="9" t="s">
        <v>221</v>
      </c>
      <c r="C46" s="18" t="s">
        <v>311</v>
      </c>
      <c r="D46" s="9" t="s">
        <v>156</v>
      </c>
      <c r="E46" s="9" t="s">
        <v>65</v>
      </c>
      <c r="F46" s="9" t="s">
        <v>66</v>
      </c>
      <c r="G46" s="9" t="s">
        <v>67</v>
      </c>
      <c r="H46" s="21"/>
      <c r="I46" s="21" t="s">
        <v>104</v>
      </c>
      <c r="J46" s="21"/>
      <c r="K46" s="21"/>
      <c r="L46" s="21"/>
      <c r="M46" s="9"/>
      <c r="N46" s="9"/>
      <c r="O46" s="9" t="s">
        <v>312</v>
      </c>
      <c r="P46" s="9" t="s">
        <v>313</v>
      </c>
      <c r="Q46" s="9" t="s">
        <v>314</v>
      </c>
      <c r="R46" s="9"/>
      <c r="S46" s="19" t="n">
        <f aca="false">IF(OR(M46&lt;&gt;"",N46&lt;&gt;""),1,0)+IF(O46&lt;&gt;"",1,0)+IF(P46&lt;&gt;"",1,0)+IF(Q46&lt;&gt;"",1,0)+IF(R46&lt;&gt;"",1,0)</f>
        <v>3</v>
      </c>
      <c r="T46" s="9"/>
    </row>
    <row r="47" customFormat="false" ht="23.85" hidden="false" customHeight="false" outlineLevel="0" collapsed="false">
      <c r="A47" s="18" t="s">
        <v>315</v>
      </c>
      <c r="B47" s="9" t="s">
        <v>221</v>
      </c>
      <c r="C47" s="18" t="s">
        <v>316</v>
      </c>
      <c r="D47" s="9" t="s">
        <v>156</v>
      </c>
      <c r="E47" s="9" t="s">
        <v>65</v>
      </c>
      <c r="F47" s="9" t="s">
        <v>66</v>
      </c>
      <c r="G47" s="9" t="s">
        <v>67</v>
      </c>
      <c r="H47" s="21"/>
      <c r="I47" s="21" t="s">
        <v>104</v>
      </c>
      <c r="J47" s="21"/>
      <c r="K47" s="21"/>
      <c r="L47" s="21"/>
      <c r="M47" s="9"/>
      <c r="N47" s="9"/>
      <c r="O47" s="9" t="s">
        <v>308</v>
      </c>
      <c r="P47" s="9" t="s">
        <v>317</v>
      </c>
      <c r="Q47" s="9" t="s">
        <v>161</v>
      </c>
      <c r="R47" s="9"/>
      <c r="S47" s="19" t="n">
        <f aca="false">IF(OR(M47&lt;&gt;"",N47&lt;&gt;""),1,0)+IF(O47&lt;&gt;"",1,0)+IF(P47&lt;&gt;"",1,0)+IF(Q47&lt;&gt;"",1,0)+IF(R47&lt;&gt;"",1,0)</f>
        <v>3</v>
      </c>
      <c r="T47" s="9"/>
    </row>
    <row r="48" customFormat="false" ht="23.85" hidden="false" customHeight="false" outlineLevel="0" collapsed="false">
      <c r="A48" s="18" t="s">
        <v>318</v>
      </c>
      <c r="B48" s="9" t="s">
        <v>221</v>
      </c>
      <c r="C48" s="18" t="s">
        <v>319</v>
      </c>
      <c r="D48" s="9" t="s">
        <v>171</v>
      </c>
      <c r="E48" s="9" t="s">
        <v>65</v>
      </c>
      <c r="F48" s="9" t="s">
        <v>66</v>
      </c>
      <c r="G48" s="9" t="s">
        <v>67</v>
      </c>
      <c r="H48" s="21"/>
      <c r="I48" s="21" t="s">
        <v>104</v>
      </c>
      <c r="J48" s="21"/>
      <c r="K48" s="21"/>
      <c r="L48" s="21"/>
      <c r="M48" s="9"/>
      <c r="N48" s="9"/>
      <c r="O48" s="9" t="s">
        <v>312</v>
      </c>
      <c r="P48" s="9" t="s">
        <v>320</v>
      </c>
      <c r="Q48" s="9" t="s">
        <v>314</v>
      </c>
      <c r="R48" s="9"/>
      <c r="S48" s="19" t="n">
        <f aca="false">IF(OR(M48&lt;&gt;"",N48&lt;&gt;""),1,0)+IF(O48&lt;&gt;"",1,0)+IF(P48&lt;&gt;"",1,0)+IF(Q48&lt;&gt;"",1,0)+IF(R48&lt;&gt;"",1,0)</f>
        <v>3</v>
      </c>
      <c r="T48" s="9"/>
    </row>
    <row r="49" customFormat="false" ht="23.85" hidden="false" customHeight="false" outlineLevel="0" collapsed="false">
      <c r="A49" s="18" t="s">
        <v>321</v>
      </c>
      <c r="B49" s="9" t="s">
        <v>221</v>
      </c>
      <c r="C49" s="18" t="s">
        <v>322</v>
      </c>
      <c r="D49" s="9" t="s">
        <v>171</v>
      </c>
      <c r="E49" s="9" t="s">
        <v>65</v>
      </c>
      <c r="F49" s="9" t="s">
        <v>66</v>
      </c>
      <c r="G49" s="9" t="s">
        <v>67</v>
      </c>
      <c r="H49" s="21"/>
      <c r="I49" s="21" t="s">
        <v>104</v>
      </c>
      <c r="J49" s="21"/>
      <c r="K49" s="21"/>
      <c r="L49" s="21"/>
      <c r="M49" s="9"/>
      <c r="N49" s="9"/>
      <c r="O49" s="9" t="s">
        <v>312</v>
      </c>
      <c r="P49" s="9" t="s">
        <v>323</v>
      </c>
      <c r="Q49" s="9" t="s">
        <v>314</v>
      </c>
      <c r="R49" s="9"/>
      <c r="S49" s="19" t="n">
        <f aca="false">IF(OR(M49&lt;&gt;"",N49&lt;&gt;""),1,0)+IF(O49&lt;&gt;"",1,0)+IF(P49&lt;&gt;"",1,0)+IF(Q49&lt;&gt;"",1,0)+IF(R49&lt;&gt;"",1,0)</f>
        <v>3</v>
      </c>
      <c r="T49" s="9"/>
    </row>
    <row r="50" customFormat="false" ht="23.85" hidden="false" customHeight="false" outlineLevel="0" collapsed="false">
      <c r="A50" s="18" t="s">
        <v>324</v>
      </c>
      <c r="B50" s="9" t="s">
        <v>221</v>
      </c>
      <c r="C50" s="18" t="s">
        <v>325</v>
      </c>
      <c r="D50" s="9" t="s">
        <v>186</v>
      </c>
      <c r="E50" s="9" t="s">
        <v>65</v>
      </c>
      <c r="F50" s="9" t="s">
        <v>66</v>
      </c>
      <c r="G50" s="9" t="s">
        <v>67</v>
      </c>
      <c r="H50" s="21"/>
      <c r="I50" s="21" t="s">
        <v>104</v>
      </c>
      <c r="J50" s="21"/>
      <c r="K50" s="21"/>
      <c r="L50" s="21"/>
      <c r="M50" s="9"/>
      <c r="N50" s="9"/>
      <c r="O50" s="9" t="s">
        <v>312</v>
      </c>
      <c r="P50" s="9" t="s">
        <v>326</v>
      </c>
      <c r="Q50" s="9" t="s">
        <v>161</v>
      </c>
      <c r="R50" s="9"/>
      <c r="S50" s="19" t="n">
        <f aca="false">IF(OR(M50&lt;&gt;"",N50&lt;&gt;""),1,0)+IF(O50&lt;&gt;"",1,0)+IF(P50&lt;&gt;"",1,0)+IF(Q50&lt;&gt;"",1,0)+IF(R50&lt;&gt;"",1,0)</f>
        <v>3</v>
      </c>
      <c r="T50" s="9"/>
    </row>
    <row r="51" customFormat="false" ht="23.85" hidden="false" customHeight="false" outlineLevel="0" collapsed="false">
      <c r="A51" s="18" t="s">
        <v>327</v>
      </c>
      <c r="B51" s="9" t="s">
        <v>221</v>
      </c>
      <c r="C51" s="18" t="s">
        <v>328</v>
      </c>
      <c r="D51" s="9" t="s">
        <v>186</v>
      </c>
      <c r="E51" s="9" t="s">
        <v>65</v>
      </c>
      <c r="F51" s="9" t="s">
        <v>66</v>
      </c>
      <c r="G51" s="9" t="s">
        <v>67</v>
      </c>
      <c r="H51" s="21"/>
      <c r="I51" s="21" t="s">
        <v>104</v>
      </c>
      <c r="J51" s="21"/>
      <c r="K51" s="21"/>
      <c r="L51" s="21"/>
      <c r="M51" s="9"/>
      <c r="N51" s="9"/>
      <c r="O51" s="9" t="s">
        <v>308</v>
      </c>
      <c r="P51" s="9" t="s">
        <v>329</v>
      </c>
      <c r="Q51" s="9" t="s">
        <v>226</v>
      </c>
      <c r="R51" s="9"/>
      <c r="S51" s="19" t="n">
        <f aca="false">IF(OR(M51&lt;&gt;"",N51&lt;&gt;""),1,0)+IF(O51&lt;&gt;"",1,0)+IF(P51&lt;&gt;"",1,0)+IF(Q51&lt;&gt;"",1,0)+IF(R51&lt;&gt;"",1,0)</f>
        <v>3</v>
      </c>
      <c r="T51" s="9"/>
    </row>
    <row r="52" customFormat="false" ht="23.85" hidden="false" customHeight="false" outlineLevel="0" collapsed="false">
      <c r="A52" s="18" t="s">
        <v>330</v>
      </c>
      <c r="B52" s="9" t="s">
        <v>221</v>
      </c>
      <c r="C52" s="18" t="s">
        <v>331</v>
      </c>
      <c r="D52" s="9" t="s">
        <v>199</v>
      </c>
      <c r="E52" s="9" t="s">
        <v>65</v>
      </c>
      <c r="F52" s="9" t="s">
        <v>66</v>
      </c>
      <c r="G52" s="9" t="s">
        <v>67</v>
      </c>
      <c r="H52" s="21"/>
      <c r="I52" s="21" t="s">
        <v>104</v>
      </c>
      <c r="J52" s="21"/>
      <c r="K52" s="21"/>
      <c r="L52" s="21"/>
      <c r="M52" s="9"/>
      <c r="N52" s="9"/>
      <c r="O52" s="9" t="s">
        <v>332</v>
      </c>
      <c r="P52" s="9" t="s">
        <v>333</v>
      </c>
      <c r="Q52" s="9" t="s">
        <v>161</v>
      </c>
      <c r="R52" s="9"/>
      <c r="S52" s="19" t="n">
        <f aca="false">IF(OR(M52&lt;&gt;"",N52&lt;&gt;""),1,0)+IF(O52&lt;&gt;"",1,0)+IF(P52&lt;&gt;"",1,0)+IF(Q52&lt;&gt;"",1,0)+IF(R52&lt;&gt;"",1,0)</f>
        <v>3</v>
      </c>
      <c r="T52" s="9"/>
    </row>
    <row r="53" customFormat="false" ht="23.85" hidden="false" customHeight="false" outlineLevel="0" collapsed="false">
      <c r="A53" s="18" t="s">
        <v>334</v>
      </c>
      <c r="B53" s="9" t="s">
        <v>221</v>
      </c>
      <c r="C53" s="18" t="s">
        <v>335</v>
      </c>
      <c r="D53" s="9" t="s">
        <v>199</v>
      </c>
      <c r="E53" s="9" t="s">
        <v>65</v>
      </c>
      <c r="F53" s="9" t="s">
        <v>66</v>
      </c>
      <c r="G53" s="9" t="s">
        <v>67</v>
      </c>
      <c r="H53" s="21"/>
      <c r="I53" s="21" t="s">
        <v>104</v>
      </c>
      <c r="J53" s="21"/>
      <c r="K53" s="21"/>
      <c r="L53" s="21"/>
      <c r="M53" s="9"/>
      <c r="N53" s="9"/>
      <c r="O53" s="9" t="s">
        <v>336</v>
      </c>
      <c r="P53" s="9" t="s">
        <v>337</v>
      </c>
      <c r="Q53" s="9" t="s">
        <v>161</v>
      </c>
      <c r="R53" s="9"/>
      <c r="S53" s="19" t="n">
        <f aca="false">IF(OR(M53&lt;&gt;"",N53&lt;&gt;""),1,0)+IF(O53&lt;&gt;"",1,0)+IF(P53&lt;&gt;"",1,0)+IF(Q53&lt;&gt;"",1,0)+IF(R53&lt;&gt;"",1,0)</f>
        <v>3</v>
      </c>
      <c r="T53" s="9"/>
    </row>
    <row r="54" customFormat="false" ht="23.85" hidden="false" customHeight="false" outlineLevel="0" collapsed="false">
      <c r="A54" s="18" t="s">
        <v>338</v>
      </c>
      <c r="B54" s="9" t="s">
        <v>221</v>
      </c>
      <c r="C54" s="18" t="s">
        <v>339</v>
      </c>
      <c r="D54" s="9" t="s">
        <v>149</v>
      </c>
      <c r="E54" s="9" t="s">
        <v>65</v>
      </c>
      <c r="F54" s="9" t="s">
        <v>66</v>
      </c>
      <c r="G54" s="9" t="s">
        <v>67</v>
      </c>
      <c r="H54" s="21"/>
      <c r="I54" s="21" t="s">
        <v>104</v>
      </c>
      <c r="J54" s="21"/>
      <c r="K54" s="21"/>
      <c r="L54" s="21"/>
      <c r="M54" s="9"/>
      <c r="N54" s="9"/>
      <c r="O54" s="9" t="s">
        <v>312</v>
      </c>
      <c r="P54" s="9" t="s">
        <v>340</v>
      </c>
      <c r="Q54" s="9" t="s">
        <v>314</v>
      </c>
      <c r="R54" s="9"/>
      <c r="S54" s="19" t="n">
        <f aca="false">IF(OR(M54&lt;&gt;"",N54&lt;&gt;""),1,0)+IF(O54&lt;&gt;"",1,0)+IF(P54&lt;&gt;"",1,0)+IF(Q54&lt;&gt;"",1,0)+IF(R54&lt;&gt;"",1,0)</f>
        <v>3</v>
      </c>
      <c r="T54" s="9"/>
    </row>
    <row r="55" customFormat="false" ht="23.85" hidden="false" customHeight="false" outlineLevel="0" collapsed="false">
      <c r="A55" s="18" t="s">
        <v>341</v>
      </c>
      <c r="B55" s="9" t="s">
        <v>221</v>
      </c>
      <c r="C55" s="18" t="s">
        <v>342</v>
      </c>
      <c r="D55" s="9"/>
      <c r="E55" s="9" t="s">
        <v>69</v>
      </c>
      <c r="F55" s="9" t="s">
        <v>70</v>
      </c>
      <c r="G55" s="9" t="s">
        <v>71</v>
      </c>
      <c r="H55" s="21"/>
      <c r="I55" s="21"/>
      <c r="J55" s="21" t="s">
        <v>104</v>
      </c>
      <c r="K55" s="21"/>
      <c r="L55" s="21"/>
      <c r="M55" s="9" t="s">
        <v>234</v>
      </c>
      <c r="N55" s="9"/>
      <c r="O55" s="9" t="s">
        <v>230</v>
      </c>
      <c r="P55" s="9" t="s">
        <v>343</v>
      </c>
      <c r="Q55" s="9" t="s">
        <v>190</v>
      </c>
      <c r="R55" s="9"/>
      <c r="S55" s="19" t="n">
        <f aca="false">IF(OR(M55&lt;&gt;"",N55&lt;&gt;""),1,0)+IF(O55&lt;&gt;"",1,0)+IF(P55&lt;&gt;"",1,0)+IF(Q55&lt;&gt;"",1,0)+IF(R55&lt;&gt;"",1,0)</f>
        <v>4</v>
      </c>
      <c r="T55" s="9"/>
    </row>
    <row r="56" customFormat="false" ht="23.85" hidden="false" customHeight="false" outlineLevel="0" collapsed="false">
      <c r="A56" s="18" t="s">
        <v>344</v>
      </c>
      <c r="B56" s="9" t="s">
        <v>221</v>
      </c>
      <c r="C56" s="18" t="s">
        <v>345</v>
      </c>
      <c r="D56" s="9"/>
      <c r="E56" s="9" t="s">
        <v>69</v>
      </c>
      <c r="F56" s="9" t="s">
        <v>70</v>
      </c>
      <c r="G56" s="9" t="s">
        <v>71</v>
      </c>
      <c r="H56" s="21"/>
      <c r="I56" s="21"/>
      <c r="J56" s="21" t="s">
        <v>104</v>
      </c>
      <c r="K56" s="21"/>
      <c r="L56" s="21"/>
      <c r="M56" s="9" t="s">
        <v>346</v>
      </c>
      <c r="N56" s="9"/>
      <c r="O56" s="9" t="s">
        <v>240</v>
      </c>
      <c r="P56" s="9" t="s">
        <v>347</v>
      </c>
      <c r="Q56" s="9" t="s">
        <v>183</v>
      </c>
      <c r="R56" s="9"/>
      <c r="S56" s="19" t="n">
        <f aca="false">IF(OR(M56&lt;&gt;"",N56&lt;&gt;""),1,0)+IF(O56&lt;&gt;"",1,0)+IF(P56&lt;&gt;"",1,0)+IF(Q56&lt;&gt;"",1,0)+IF(R56&lt;&gt;"",1,0)</f>
        <v>4</v>
      </c>
      <c r="T56" s="9"/>
    </row>
    <row r="57" customFormat="false" ht="23.85" hidden="false" customHeight="false" outlineLevel="0" collapsed="false">
      <c r="A57" s="18" t="s">
        <v>348</v>
      </c>
      <c r="B57" s="9" t="s">
        <v>221</v>
      </c>
      <c r="C57" s="18" t="s">
        <v>349</v>
      </c>
      <c r="D57" s="9"/>
      <c r="E57" s="9" t="s">
        <v>69</v>
      </c>
      <c r="F57" s="9" t="s">
        <v>70</v>
      </c>
      <c r="G57" s="9" t="s">
        <v>71</v>
      </c>
      <c r="H57" s="21"/>
      <c r="I57" s="21"/>
      <c r="J57" s="21" t="s">
        <v>104</v>
      </c>
      <c r="K57" s="21"/>
      <c r="L57" s="21"/>
      <c r="M57" s="9" t="s">
        <v>350</v>
      </c>
      <c r="N57" s="9"/>
      <c r="O57" s="9" t="s">
        <v>351</v>
      </c>
      <c r="P57" s="9" t="s">
        <v>352</v>
      </c>
      <c r="Q57" s="9" t="s">
        <v>353</v>
      </c>
      <c r="R57" s="9"/>
      <c r="S57" s="19" t="n">
        <f aca="false">IF(OR(M57&lt;&gt;"",N57&lt;&gt;""),1,0)+IF(O57&lt;&gt;"",1,0)+IF(P57&lt;&gt;"",1,0)+IF(Q57&lt;&gt;"",1,0)+IF(R57&lt;&gt;"",1,0)</f>
        <v>4</v>
      </c>
      <c r="T57" s="9"/>
    </row>
    <row r="58" customFormat="false" ht="23.85" hidden="false" customHeight="false" outlineLevel="0" collapsed="false">
      <c r="A58" s="18" t="s">
        <v>354</v>
      </c>
      <c r="B58" s="9" t="s">
        <v>221</v>
      </c>
      <c r="C58" s="18" t="s">
        <v>355</v>
      </c>
      <c r="D58" s="9" t="s">
        <v>149</v>
      </c>
      <c r="E58" s="9" t="s">
        <v>69</v>
      </c>
      <c r="F58" s="9" t="s">
        <v>70</v>
      </c>
      <c r="G58" s="9" t="s">
        <v>71</v>
      </c>
      <c r="H58" s="21"/>
      <c r="I58" s="21"/>
      <c r="J58" s="21" t="s">
        <v>104</v>
      </c>
      <c r="K58" s="21"/>
      <c r="L58" s="21"/>
      <c r="M58" s="9"/>
      <c r="N58" s="9"/>
      <c r="O58" s="9" t="s">
        <v>356</v>
      </c>
      <c r="P58" s="9" t="s">
        <v>357</v>
      </c>
      <c r="Q58" s="9" t="s">
        <v>353</v>
      </c>
      <c r="R58" s="9"/>
      <c r="S58" s="19" t="n">
        <f aca="false">IF(OR(M58&lt;&gt;"",N58&lt;&gt;""),1,0)+IF(O58&lt;&gt;"",1,0)+IF(P58&lt;&gt;"",1,0)+IF(Q58&lt;&gt;"",1,0)+IF(R58&lt;&gt;"",1,0)</f>
        <v>3</v>
      </c>
      <c r="T58" s="9"/>
    </row>
    <row r="59" customFormat="false" ht="23.85" hidden="false" customHeight="false" outlineLevel="0" collapsed="false">
      <c r="A59" s="18" t="s">
        <v>358</v>
      </c>
      <c r="B59" s="9" t="s">
        <v>221</v>
      </c>
      <c r="C59" s="18" t="s">
        <v>359</v>
      </c>
      <c r="D59" s="9" t="s">
        <v>149</v>
      </c>
      <c r="E59" s="9" t="s">
        <v>69</v>
      </c>
      <c r="F59" s="9" t="s">
        <v>70</v>
      </c>
      <c r="G59" s="9" t="s">
        <v>71</v>
      </c>
      <c r="H59" s="21"/>
      <c r="I59" s="21"/>
      <c r="J59" s="21" t="s">
        <v>104</v>
      </c>
      <c r="K59" s="21"/>
      <c r="L59" s="21"/>
      <c r="M59" s="9"/>
      <c r="N59" s="9"/>
      <c r="O59" s="9" t="s">
        <v>360</v>
      </c>
      <c r="P59" s="9" t="s">
        <v>361</v>
      </c>
      <c r="Q59" s="9" t="s">
        <v>362</v>
      </c>
      <c r="R59" s="9"/>
      <c r="S59" s="19" t="n">
        <f aca="false">IF(OR(M59&lt;&gt;"",N59&lt;&gt;""),1,0)+IF(O59&lt;&gt;"",1,0)+IF(P59&lt;&gt;"",1,0)+IF(Q59&lt;&gt;"",1,0)+IF(R59&lt;&gt;"",1,0)</f>
        <v>3</v>
      </c>
      <c r="T59" s="9"/>
    </row>
    <row r="60" customFormat="false" ht="23.85" hidden="false" customHeight="false" outlineLevel="0" collapsed="false">
      <c r="A60" s="18" t="s">
        <v>363</v>
      </c>
      <c r="B60" s="9" t="s">
        <v>221</v>
      </c>
      <c r="C60" s="18" t="s">
        <v>364</v>
      </c>
      <c r="D60" s="9" t="s">
        <v>156</v>
      </c>
      <c r="E60" s="9" t="s">
        <v>69</v>
      </c>
      <c r="F60" s="9" t="s">
        <v>70</v>
      </c>
      <c r="G60" s="9" t="s">
        <v>71</v>
      </c>
      <c r="H60" s="21"/>
      <c r="I60" s="21"/>
      <c r="J60" s="21" t="s">
        <v>104</v>
      </c>
      <c r="K60" s="21"/>
      <c r="L60" s="21"/>
      <c r="M60" s="9"/>
      <c r="N60" s="9"/>
      <c r="O60" s="9" t="s">
        <v>365</v>
      </c>
      <c r="P60" s="9" t="s">
        <v>366</v>
      </c>
      <c r="Q60" s="9" t="s">
        <v>190</v>
      </c>
      <c r="R60" s="9"/>
      <c r="S60" s="19" t="n">
        <f aca="false">IF(OR(M60&lt;&gt;"",N60&lt;&gt;""),1,0)+IF(O60&lt;&gt;"",1,0)+IF(P60&lt;&gt;"",1,0)+IF(Q60&lt;&gt;"",1,0)+IF(R60&lt;&gt;"",1,0)</f>
        <v>3</v>
      </c>
      <c r="T60" s="9"/>
    </row>
    <row r="61" customFormat="false" ht="23.85" hidden="false" customHeight="false" outlineLevel="0" collapsed="false">
      <c r="A61" s="18" t="s">
        <v>367</v>
      </c>
      <c r="B61" s="9" t="s">
        <v>221</v>
      </c>
      <c r="C61" s="18" t="s">
        <v>368</v>
      </c>
      <c r="D61" s="9" t="s">
        <v>156</v>
      </c>
      <c r="E61" s="9" t="s">
        <v>69</v>
      </c>
      <c r="F61" s="9" t="s">
        <v>70</v>
      </c>
      <c r="G61" s="9" t="s">
        <v>71</v>
      </c>
      <c r="H61" s="21"/>
      <c r="I61" s="21"/>
      <c r="J61" s="21" t="s">
        <v>104</v>
      </c>
      <c r="K61" s="21"/>
      <c r="L61" s="21"/>
      <c r="M61" s="9"/>
      <c r="N61" s="9"/>
      <c r="O61" s="9" t="s">
        <v>369</v>
      </c>
      <c r="P61" s="9" t="s">
        <v>370</v>
      </c>
      <c r="Q61" s="9" t="s">
        <v>161</v>
      </c>
      <c r="R61" s="9"/>
      <c r="S61" s="19" t="n">
        <f aca="false">IF(OR(M61&lt;&gt;"",N61&lt;&gt;""),1,0)+IF(O61&lt;&gt;"",1,0)+IF(P61&lt;&gt;"",1,0)+IF(Q61&lt;&gt;"",1,0)+IF(R61&lt;&gt;"",1,0)</f>
        <v>3</v>
      </c>
      <c r="T61" s="9"/>
    </row>
    <row r="62" customFormat="false" ht="23.85" hidden="false" customHeight="false" outlineLevel="0" collapsed="false">
      <c r="A62" s="18" t="s">
        <v>371</v>
      </c>
      <c r="B62" s="9" t="s">
        <v>221</v>
      </c>
      <c r="C62" s="18" t="s">
        <v>372</v>
      </c>
      <c r="D62" s="9" t="s">
        <v>171</v>
      </c>
      <c r="E62" s="9" t="s">
        <v>69</v>
      </c>
      <c r="F62" s="9" t="s">
        <v>70</v>
      </c>
      <c r="G62" s="9" t="s">
        <v>71</v>
      </c>
      <c r="H62" s="21"/>
      <c r="I62" s="21"/>
      <c r="J62" s="21" t="s">
        <v>104</v>
      </c>
      <c r="K62" s="21"/>
      <c r="L62" s="21"/>
      <c r="M62" s="9"/>
      <c r="N62" s="9"/>
      <c r="O62" s="9" t="s">
        <v>373</v>
      </c>
      <c r="P62" s="9" t="s">
        <v>374</v>
      </c>
      <c r="Q62" s="9" t="s">
        <v>375</v>
      </c>
      <c r="R62" s="9"/>
      <c r="S62" s="19" t="n">
        <f aca="false">IF(OR(M62&lt;&gt;"",N62&lt;&gt;""),1,0)+IF(O62&lt;&gt;"",1,0)+IF(P62&lt;&gt;"",1,0)+IF(Q62&lt;&gt;"",1,0)+IF(R62&lt;&gt;"",1,0)</f>
        <v>3</v>
      </c>
      <c r="T62" s="9"/>
    </row>
    <row r="63" customFormat="false" ht="23.85" hidden="false" customHeight="false" outlineLevel="0" collapsed="false">
      <c r="A63" s="18" t="s">
        <v>376</v>
      </c>
      <c r="B63" s="9" t="s">
        <v>221</v>
      </c>
      <c r="C63" s="18" t="s">
        <v>377</v>
      </c>
      <c r="D63" s="9" t="s">
        <v>171</v>
      </c>
      <c r="E63" s="9" t="s">
        <v>69</v>
      </c>
      <c r="F63" s="9" t="s">
        <v>70</v>
      </c>
      <c r="G63" s="9" t="s">
        <v>71</v>
      </c>
      <c r="H63" s="21"/>
      <c r="I63" s="21"/>
      <c r="J63" s="21" t="s">
        <v>104</v>
      </c>
      <c r="K63" s="21"/>
      <c r="L63" s="21"/>
      <c r="M63" s="9"/>
      <c r="N63" s="9"/>
      <c r="O63" s="9" t="s">
        <v>378</v>
      </c>
      <c r="P63" s="9" t="s">
        <v>379</v>
      </c>
      <c r="Q63" s="9" t="s">
        <v>153</v>
      </c>
      <c r="R63" s="9"/>
      <c r="S63" s="19" t="n">
        <f aca="false">IF(OR(M63&lt;&gt;"",N63&lt;&gt;""),1,0)+IF(O63&lt;&gt;"",1,0)+IF(P63&lt;&gt;"",1,0)+IF(Q63&lt;&gt;"",1,0)+IF(R63&lt;&gt;"",1,0)</f>
        <v>3</v>
      </c>
      <c r="T63" s="9"/>
    </row>
    <row r="64" customFormat="false" ht="23.85" hidden="false" customHeight="false" outlineLevel="0" collapsed="false">
      <c r="A64" s="18" t="s">
        <v>380</v>
      </c>
      <c r="B64" s="9" t="s">
        <v>221</v>
      </c>
      <c r="C64" s="18" t="s">
        <v>381</v>
      </c>
      <c r="D64" s="9" t="s">
        <v>186</v>
      </c>
      <c r="E64" s="9" t="s">
        <v>69</v>
      </c>
      <c r="F64" s="9" t="s">
        <v>70</v>
      </c>
      <c r="G64" s="9" t="s">
        <v>71</v>
      </c>
      <c r="H64" s="21"/>
      <c r="I64" s="21"/>
      <c r="J64" s="21" t="s">
        <v>104</v>
      </c>
      <c r="K64" s="21"/>
      <c r="L64" s="21"/>
      <c r="M64" s="9"/>
      <c r="N64" s="9"/>
      <c r="O64" s="9" t="s">
        <v>382</v>
      </c>
      <c r="P64" s="9" t="s">
        <v>383</v>
      </c>
      <c r="Q64" s="9" t="s">
        <v>190</v>
      </c>
      <c r="R64" s="9"/>
      <c r="S64" s="19" t="n">
        <f aca="false">IF(OR(M64&lt;&gt;"",N64&lt;&gt;""),1,0)+IF(O64&lt;&gt;"",1,0)+IF(P64&lt;&gt;"",1,0)+IF(Q64&lt;&gt;"",1,0)+IF(R64&lt;&gt;"",1,0)</f>
        <v>3</v>
      </c>
      <c r="T64" s="9"/>
    </row>
    <row r="65" customFormat="false" ht="23.85" hidden="false" customHeight="false" outlineLevel="0" collapsed="false">
      <c r="A65" s="18" t="s">
        <v>384</v>
      </c>
      <c r="B65" s="9" t="s">
        <v>221</v>
      </c>
      <c r="C65" s="18" t="s">
        <v>385</v>
      </c>
      <c r="D65" s="9" t="s">
        <v>186</v>
      </c>
      <c r="E65" s="9" t="s">
        <v>69</v>
      </c>
      <c r="F65" s="9" t="s">
        <v>70</v>
      </c>
      <c r="G65" s="9" t="s">
        <v>71</v>
      </c>
      <c r="H65" s="21"/>
      <c r="I65" s="21"/>
      <c r="J65" s="21" t="s">
        <v>104</v>
      </c>
      <c r="K65" s="21"/>
      <c r="L65" s="21"/>
      <c r="M65" s="9"/>
      <c r="N65" s="9"/>
      <c r="O65" s="9" t="s">
        <v>386</v>
      </c>
      <c r="P65" s="9" t="s">
        <v>387</v>
      </c>
      <c r="Q65" s="9" t="s">
        <v>196</v>
      </c>
      <c r="R65" s="9"/>
      <c r="S65" s="19" t="n">
        <f aca="false">IF(OR(M65&lt;&gt;"",N65&lt;&gt;""),1,0)+IF(O65&lt;&gt;"",1,0)+IF(P65&lt;&gt;"",1,0)+IF(Q65&lt;&gt;"",1,0)+IF(R65&lt;&gt;"",1,0)</f>
        <v>3</v>
      </c>
      <c r="T65" s="9"/>
    </row>
    <row r="66" customFormat="false" ht="23.85" hidden="false" customHeight="false" outlineLevel="0" collapsed="false">
      <c r="A66" s="18" t="s">
        <v>388</v>
      </c>
      <c r="B66" s="9" t="s">
        <v>221</v>
      </c>
      <c r="C66" s="18" t="s">
        <v>389</v>
      </c>
      <c r="D66" s="9" t="s">
        <v>199</v>
      </c>
      <c r="E66" s="9" t="s">
        <v>69</v>
      </c>
      <c r="F66" s="9" t="s">
        <v>70</v>
      </c>
      <c r="G66" s="9" t="s">
        <v>71</v>
      </c>
      <c r="H66" s="21"/>
      <c r="I66" s="21"/>
      <c r="J66" s="21" t="s">
        <v>104</v>
      </c>
      <c r="K66" s="21"/>
      <c r="L66" s="21"/>
      <c r="M66" s="9"/>
      <c r="N66" s="9"/>
      <c r="O66" s="9" t="s">
        <v>390</v>
      </c>
      <c r="P66" s="9" t="s">
        <v>347</v>
      </c>
      <c r="Q66" s="9" t="s">
        <v>190</v>
      </c>
      <c r="R66" s="9"/>
      <c r="S66" s="19" t="n">
        <f aca="false">IF(OR(M66&lt;&gt;"",N66&lt;&gt;""),1,0)+IF(O66&lt;&gt;"",1,0)+IF(P66&lt;&gt;"",1,0)+IF(Q66&lt;&gt;"",1,0)+IF(R66&lt;&gt;"",1,0)</f>
        <v>3</v>
      </c>
      <c r="T66" s="9"/>
    </row>
    <row r="67" customFormat="false" ht="23.85" hidden="false" customHeight="false" outlineLevel="0" collapsed="false">
      <c r="A67" s="18" t="s">
        <v>391</v>
      </c>
      <c r="B67" s="9" t="s">
        <v>221</v>
      </c>
      <c r="C67" s="18" t="s">
        <v>392</v>
      </c>
      <c r="D67" s="9" t="s">
        <v>199</v>
      </c>
      <c r="E67" s="9" t="s">
        <v>69</v>
      </c>
      <c r="F67" s="9" t="s">
        <v>70</v>
      </c>
      <c r="G67" s="9" t="s">
        <v>71</v>
      </c>
      <c r="H67" s="21"/>
      <c r="I67" s="21"/>
      <c r="J67" s="21" t="s">
        <v>104</v>
      </c>
      <c r="K67" s="21"/>
      <c r="L67" s="21"/>
      <c r="M67" s="9"/>
      <c r="N67" s="9"/>
      <c r="O67" s="9" t="s">
        <v>393</v>
      </c>
      <c r="P67" s="9" t="s">
        <v>383</v>
      </c>
      <c r="Q67" s="9" t="s">
        <v>190</v>
      </c>
      <c r="R67" s="9"/>
      <c r="S67" s="19" t="n">
        <f aca="false">IF(OR(M67&lt;&gt;"",N67&lt;&gt;""),1,0)+IF(O67&lt;&gt;"",1,0)+IF(P67&lt;&gt;"",1,0)+IF(Q67&lt;&gt;"",1,0)+IF(R67&lt;&gt;"",1,0)</f>
        <v>3</v>
      </c>
      <c r="T67" s="9"/>
    </row>
    <row r="68" customFormat="false" ht="15" hidden="false" customHeight="false" outlineLevel="0" collapsed="false">
      <c r="A68" s="18" t="s">
        <v>394</v>
      </c>
      <c r="B68" s="9" t="s">
        <v>221</v>
      </c>
      <c r="C68" s="18" t="s">
        <v>395</v>
      </c>
      <c r="D68" s="9"/>
      <c r="E68" s="9" t="s">
        <v>78</v>
      </c>
      <c r="F68" s="9" t="s">
        <v>79</v>
      </c>
      <c r="G68" s="9" t="s">
        <v>80</v>
      </c>
      <c r="H68" s="21"/>
      <c r="I68" s="21"/>
      <c r="J68" s="21"/>
      <c r="K68" s="21" t="s">
        <v>104</v>
      </c>
      <c r="L68" s="21"/>
      <c r="M68" s="9" t="s">
        <v>396</v>
      </c>
      <c r="N68" s="9"/>
      <c r="O68" s="9" t="s">
        <v>397</v>
      </c>
      <c r="P68" s="9" t="s">
        <v>398</v>
      </c>
      <c r="Q68" s="9" t="s">
        <v>399</v>
      </c>
      <c r="R68" s="9"/>
      <c r="S68" s="19" t="n">
        <f aca="false">IF(OR(M68&lt;&gt;"",N68&lt;&gt;""),1,0)+IF(O68&lt;&gt;"",1,0)+IF(P68&lt;&gt;"",1,0)+IF(Q68&lt;&gt;"",1,0)+IF(R68&lt;&gt;"",1,0)</f>
        <v>4</v>
      </c>
      <c r="T68" s="9"/>
    </row>
    <row r="69" customFormat="false" ht="15" hidden="false" customHeight="false" outlineLevel="0" collapsed="false">
      <c r="A69" s="18" t="s">
        <v>400</v>
      </c>
      <c r="B69" s="9" t="s">
        <v>221</v>
      </c>
      <c r="C69" s="18" t="s">
        <v>401</v>
      </c>
      <c r="D69" s="9"/>
      <c r="E69" s="9" t="s">
        <v>78</v>
      </c>
      <c r="F69" s="9" t="s">
        <v>79</v>
      </c>
      <c r="G69" s="9" t="s">
        <v>80</v>
      </c>
      <c r="H69" s="21"/>
      <c r="I69" s="21"/>
      <c r="J69" s="21"/>
      <c r="K69" s="21" t="s">
        <v>104</v>
      </c>
      <c r="L69" s="21"/>
      <c r="M69" s="9" t="s">
        <v>402</v>
      </c>
      <c r="N69" s="9"/>
      <c r="O69" s="9" t="s">
        <v>403</v>
      </c>
      <c r="P69" s="9" t="s">
        <v>404</v>
      </c>
      <c r="Q69" s="9" t="s">
        <v>399</v>
      </c>
      <c r="R69" s="9"/>
      <c r="S69" s="19" t="n">
        <f aca="false">IF(OR(M69&lt;&gt;"",N69&lt;&gt;""),1,0)+IF(O69&lt;&gt;"",1,0)+IF(P69&lt;&gt;"",1,0)+IF(Q69&lt;&gt;"",1,0)+IF(R69&lt;&gt;"",1,0)</f>
        <v>4</v>
      </c>
      <c r="T69" s="9"/>
    </row>
    <row r="70" customFormat="false" ht="23.85" hidden="false" customHeight="false" outlineLevel="0" collapsed="false">
      <c r="A70" s="18" t="s">
        <v>405</v>
      </c>
      <c r="B70" s="9" t="s">
        <v>221</v>
      </c>
      <c r="C70" s="18" t="s">
        <v>406</v>
      </c>
      <c r="D70" s="9" t="s">
        <v>406</v>
      </c>
      <c r="E70" s="9" t="s">
        <v>78</v>
      </c>
      <c r="F70" s="9" t="s">
        <v>79</v>
      </c>
      <c r="G70" s="9" t="s">
        <v>80</v>
      </c>
      <c r="H70" s="21"/>
      <c r="I70" s="21"/>
      <c r="J70" s="21"/>
      <c r="K70" s="21" t="s">
        <v>104</v>
      </c>
      <c r="L70" s="21"/>
      <c r="M70" s="9"/>
      <c r="N70" s="9"/>
      <c r="O70" s="9" t="s">
        <v>213</v>
      </c>
      <c r="P70" s="9" t="s">
        <v>404</v>
      </c>
      <c r="Q70" s="9" t="s">
        <v>399</v>
      </c>
      <c r="R70" s="9"/>
      <c r="S70" s="19" t="n">
        <f aca="false">IF(OR(M70&lt;&gt;"",N70&lt;&gt;""),1,0)+IF(O70&lt;&gt;"",1,0)+IF(P70&lt;&gt;"",1,0)+IF(Q70&lt;&gt;"",1,0)+IF(R70&lt;&gt;"",1,0)</f>
        <v>3</v>
      </c>
      <c r="T70" s="9"/>
    </row>
    <row r="71" customFormat="false" ht="15" hidden="false" customHeight="false" outlineLevel="0" collapsed="false">
      <c r="A71" s="18" t="s">
        <v>407</v>
      </c>
      <c r="B71" s="9" t="s">
        <v>221</v>
      </c>
      <c r="C71" s="18" t="s">
        <v>408</v>
      </c>
      <c r="D71" s="9" t="s">
        <v>149</v>
      </c>
      <c r="E71" s="9" t="s">
        <v>78</v>
      </c>
      <c r="F71" s="9" t="s">
        <v>79</v>
      </c>
      <c r="G71" s="9" t="s">
        <v>80</v>
      </c>
      <c r="H71" s="21"/>
      <c r="I71" s="21"/>
      <c r="J71" s="21"/>
      <c r="K71" s="21" t="s">
        <v>104</v>
      </c>
      <c r="L71" s="21"/>
      <c r="M71" s="9"/>
      <c r="N71" s="9"/>
      <c r="O71" s="9" t="s">
        <v>409</v>
      </c>
      <c r="P71" s="9" t="s">
        <v>410</v>
      </c>
      <c r="Q71" s="9" t="s">
        <v>265</v>
      </c>
      <c r="R71" s="9"/>
      <c r="S71" s="19" t="n">
        <f aca="false">IF(OR(M71&lt;&gt;"",N71&lt;&gt;""),1,0)+IF(O71&lt;&gt;"",1,0)+IF(P71&lt;&gt;"",1,0)+IF(Q71&lt;&gt;"",1,0)+IF(R71&lt;&gt;"",1,0)</f>
        <v>3</v>
      </c>
      <c r="T71" s="9"/>
    </row>
    <row r="72" customFormat="false" ht="23.85" hidden="false" customHeight="false" outlineLevel="0" collapsed="false">
      <c r="A72" s="18" t="s">
        <v>411</v>
      </c>
      <c r="B72" s="9" t="s">
        <v>221</v>
      </c>
      <c r="C72" s="18" t="s">
        <v>412</v>
      </c>
      <c r="D72" s="9" t="s">
        <v>149</v>
      </c>
      <c r="E72" s="9" t="s">
        <v>78</v>
      </c>
      <c r="F72" s="9" t="s">
        <v>79</v>
      </c>
      <c r="G72" s="9" t="s">
        <v>80</v>
      </c>
      <c r="H72" s="21"/>
      <c r="I72" s="21"/>
      <c r="J72" s="21"/>
      <c r="K72" s="21" t="s">
        <v>104</v>
      </c>
      <c r="L72" s="21"/>
      <c r="M72" s="9"/>
      <c r="N72" s="9"/>
      <c r="O72" s="9" t="s">
        <v>413</v>
      </c>
      <c r="P72" s="9" t="s">
        <v>414</v>
      </c>
      <c r="Q72" s="9" t="s">
        <v>183</v>
      </c>
      <c r="R72" s="9"/>
      <c r="S72" s="19" t="n">
        <f aca="false">IF(OR(M72&lt;&gt;"",N72&lt;&gt;""),1,0)+IF(O72&lt;&gt;"",1,0)+IF(P72&lt;&gt;"",1,0)+IF(Q72&lt;&gt;"",1,0)+IF(R72&lt;&gt;"",1,0)</f>
        <v>3</v>
      </c>
      <c r="T72" s="9"/>
    </row>
    <row r="73" customFormat="false" ht="23.85" hidden="false" customHeight="false" outlineLevel="0" collapsed="false">
      <c r="A73" s="18" t="s">
        <v>415</v>
      </c>
      <c r="B73" s="9" t="s">
        <v>221</v>
      </c>
      <c r="C73" s="18" t="s">
        <v>416</v>
      </c>
      <c r="D73" s="9" t="s">
        <v>156</v>
      </c>
      <c r="E73" s="9" t="s">
        <v>78</v>
      </c>
      <c r="F73" s="9" t="s">
        <v>79</v>
      </c>
      <c r="G73" s="9" t="s">
        <v>80</v>
      </c>
      <c r="H73" s="21"/>
      <c r="I73" s="21"/>
      <c r="J73" s="21"/>
      <c r="K73" s="21" t="s">
        <v>104</v>
      </c>
      <c r="L73" s="21"/>
      <c r="M73" s="9"/>
      <c r="N73" s="9"/>
      <c r="O73" s="9" t="s">
        <v>417</v>
      </c>
      <c r="P73" s="9" t="s">
        <v>418</v>
      </c>
      <c r="Q73" s="9" t="s">
        <v>161</v>
      </c>
      <c r="R73" s="9"/>
      <c r="S73" s="19" t="n">
        <f aca="false">IF(OR(M73&lt;&gt;"",N73&lt;&gt;""),1,0)+IF(O73&lt;&gt;"",1,0)+IF(P73&lt;&gt;"",1,0)+IF(Q73&lt;&gt;"",1,0)+IF(R73&lt;&gt;"",1,0)</f>
        <v>3</v>
      </c>
      <c r="T73" s="9"/>
    </row>
    <row r="74" customFormat="false" ht="23.85" hidden="false" customHeight="false" outlineLevel="0" collapsed="false">
      <c r="A74" s="18" t="s">
        <v>419</v>
      </c>
      <c r="B74" s="9" t="s">
        <v>221</v>
      </c>
      <c r="C74" s="18" t="s">
        <v>420</v>
      </c>
      <c r="D74" s="9" t="s">
        <v>156</v>
      </c>
      <c r="E74" s="9" t="s">
        <v>78</v>
      </c>
      <c r="F74" s="9" t="s">
        <v>79</v>
      </c>
      <c r="G74" s="9" t="s">
        <v>80</v>
      </c>
      <c r="H74" s="21"/>
      <c r="I74" s="21"/>
      <c r="J74" s="21"/>
      <c r="K74" s="21" t="s">
        <v>104</v>
      </c>
      <c r="L74" s="21"/>
      <c r="M74" s="9"/>
      <c r="N74" s="9"/>
      <c r="O74" s="9" t="s">
        <v>332</v>
      </c>
      <c r="P74" s="9" t="s">
        <v>421</v>
      </c>
      <c r="Q74" s="9" t="s">
        <v>161</v>
      </c>
      <c r="R74" s="9"/>
      <c r="S74" s="19" t="n">
        <f aca="false">IF(OR(M74&lt;&gt;"",N74&lt;&gt;""),1,0)+IF(O74&lt;&gt;"",1,0)+IF(P74&lt;&gt;"",1,0)+IF(Q74&lt;&gt;"",1,0)+IF(R74&lt;&gt;"",1,0)</f>
        <v>3</v>
      </c>
      <c r="T74" s="9"/>
    </row>
    <row r="75" customFormat="false" ht="23.85" hidden="false" customHeight="false" outlineLevel="0" collapsed="false">
      <c r="A75" s="18" t="s">
        <v>422</v>
      </c>
      <c r="B75" s="9" t="s">
        <v>221</v>
      </c>
      <c r="C75" s="18" t="s">
        <v>423</v>
      </c>
      <c r="D75" s="9" t="s">
        <v>171</v>
      </c>
      <c r="E75" s="9" t="s">
        <v>78</v>
      </c>
      <c r="F75" s="9" t="s">
        <v>79</v>
      </c>
      <c r="G75" s="9" t="s">
        <v>80</v>
      </c>
      <c r="H75" s="21"/>
      <c r="I75" s="21"/>
      <c r="J75" s="21"/>
      <c r="K75" s="21" t="s">
        <v>104</v>
      </c>
      <c r="L75" s="21"/>
      <c r="M75" s="9"/>
      <c r="N75" s="9"/>
      <c r="O75" s="9" t="s">
        <v>373</v>
      </c>
      <c r="P75" s="9" t="s">
        <v>424</v>
      </c>
      <c r="Q75" s="9" t="s">
        <v>375</v>
      </c>
      <c r="R75" s="9"/>
      <c r="S75" s="19" t="n">
        <f aca="false">IF(OR(M75&lt;&gt;"",N75&lt;&gt;""),1,0)+IF(O75&lt;&gt;"",1,0)+IF(P75&lt;&gt;"",1,0)+IF(Q75&lt;&gt;"",1,0)+IF(R75&lt;&gt;"",1,0)</f>
        <v>3</v>
      </c>
      <c r="T75" s="9"/>
    </row>
    <row r="76" customFormat="false" ht="23.85" hidden="false" customHeight="false" outlineLevel="0" collapsed="false">
      <c r="A76" s="18" t="s">
        <v>425</v>
      </c>
      <c r="B76" s="9" t="s">
        <v>221</v>
      </c>
      <c r="C76" s="18" t="s">
        <v>426</v>
      </c>
      <c r="D76" s="9" t="s">
        <v>171</v>
      </c>
      <c r="E76" s="9" t="s">
        <v>78</v>
      </c>
      <c r="F76" s="9" t="s">
        <v>79</v>
      </c>
      <c r="G76" s="9" t="s">
        <v>80</v>
      </c>
      <c r="H76" s="21"/>
      <c r="I76" s="21"/>
      <c r="J76" s="21"/>
      <c r="K76" s="21" t="s">
        <v>104</v>
      </c>
      <c r="L76" s="21"/>
      <c r="M76" s="9"/>
      <c r="N76" s="9"/>
      <c r="O76" s="9" t="s">
        <v>373</v>
      </c>
      <c r="P76" s="9" t="s">
        <v>427</v>
      </c>
      <c r="Q76" s="9" t="s">
        <v>183</v>
      </c>
      <c r="R76" s="9"/>
      <c r="S76" s="19" t="n">
        <f aca="false">IF(OR(M76&lt;&gt;"",N76&lt;&gt;""),1,0)+IF(O76&lt;&gt;"",1,0)+IF(P76&lt;&gt;"",1,0)+IF(Q76&lt;&gt;"",1,0)+IF(R76&lt;&gt;"",1,0)</f>
        <v>3</v>
      </c>
      <c r="T76" s="9"/>
    </row>
    <row r="77" customFormat="false" ht="23.85" hidden="false" customHeight="false" outlineLevel="0" collapsed="false">
      <c r="A77" s="18" t="s">
        <v>428</v>
      </c>
      <c r="B77" s="9" t="s">
        <v>221</v>
      </c>
      <c r="C77" s="18" t="s">
        <v>429</v>
      </c>
      <c r="D77" s="9" t="s">
        <v>186</v>
      </c>
      <c r="E77" s="9" t="s">
        <v>78</v>
      </c>
      <c r="F77" s="9" t="s">
        <v>79</v>
      </c>
      <c r="G77" s="9" t="s">
        <v>80</v>
      </c>
      <c r="H77" s="21"/>
      <c r="I77" s="21"/>
      <c r="J77" s="21"/>
      <c r="K77" s="21" t="s">
        <v>104</v>
      </c>
      <c r="L77" s="21"/>
      <c r="M77" s="9"/>
      <c r="N77" s="9"/>
      <c r="O77" s="9" t="s">
        <v>386</v>
      </c>
      <c r="P77" s="9" t="s">
        <v>430</v>
      </c>
      <c r="Q77" s="9" t="s">
        <v>196</v>
      </c>
      <c r="R77" s="9"/>
      <c r="S77" s="19" t="n">
        <f aca="false">IF(OR(M77&lt;&gt;"",N77&lt;&gt;""),1,0)+IF(O77&lt;&gt;"",1,0)+IF(P77&lt;&gt;"",1,0)+IF(Q77&lt;&gt;"",1,0)+IF(R77&lt;&gt;"",1,0)</f>
        <v>3</v>
      </c>
      <c r="T77" s="9"/>
    </row>
    <row r="78" customFormat="false" ht="23.85" hidden="false" customHeight="false" outlineLevel="0" collapsed="false">
      <c r="A78" s="18" t="s">
        <v>431</v>
      </c>
      <c r="B78" s="9" t="s">
        <v>221</v>
      </c>
      <c r="C78" s="18" t="s">
        <v>432</v>
      </c>
      <c r="D78" s="9" t="s">
        <v>186</v>
      </c>
      <c r="E78" s="9" t="s">
        <v>78</v>
      </c>
      <c r="F78" s="9" t="s">
        <v>79</v>
      </c>
      <c r="G78" s="9" t="s">
        <v>80</v>
      </c>
      <c r="H78" s="21"/>
      <c r="I78" s="21"/>
      <c r="J78" s="21"/>
      <c r="K78" s="21" t="s">
        <v>104</v>
      </c>
      <c r="L78" s="21"/>
      <c r="M78" s="9"/>
      <c r="N78" s="9"/>
      <c r="O78" s="9" t="s">
        <v>433</v>
      </c>
      <c r="P78" s="9" t="s">
        <v>434</v>
      </c>
      <c r="Q78" s="9" t="s">
        <v>215</v>
      </c>
      <c r="R78" s="9"/>
      <c r="S78" s="19" t="n">
        <f aca="false">IF(OR(M78&lt;&gt;"",N78&lt;&gt;""),1,0)+IF(O78&lt;&gt;"",1,0)+IF(P78&lt;&gt;"",1,0)+IF(Q78&lt;&gt;"",1,0)+IF(R78&lt;&gt;"",1,0)</f>
        <v>3</v>
      </c>
      <c r="T78" s="9"/>
    </row>
    <row r="79" customFormat="false" ht="23.85" hidden="false" customHeight="false" outlineLevel="0" collapsed="false">
      <c r="A79" s="18" t="s">
        <v>435</v>
      </c>
      <c r="B79" s="9" t="s">
        <v>221</v>
      </c>
      <c r="C79" s="18" t="s">
        <v>436</v>
      </c>
      <c r="D79" s="9" t="s">
        <v>199</v>
      </c>
      <c r="E79" s="9" t="s">
        <v>78</v>
      </c>
      <c r="F79" s="9" t="s">
        <v>79</v>
      </c>
      <c r="G79" s="9" t="s">
        <v>80</v>
      </c>
      <c r="H79" s="21"/>
      <c r="I79" s="21"/>
      <c r="J79" s="21"/>
      <c r="K79" s="21" t="s">
        <v>104</v>
      </c>
      <c r="L79" s="21"/>
      <c r="M79" s="9"/>
      <c r="N79" s="9"/>
      <c r="O79" s="9" t="s">
        <v>437</v>
      </c>
      <c r="P79" s="9" t="s">
        <v>438</v>
      </c>
      <c r="Q79" s="9" t="s">
        <v>399</v>
      </c>
      <c r="R79" s="9"/>
      <c r="S79" s="19" t="n">
        <f aca="false">IF(OR(M79&lt;&gt;"",N79&lt;&gt;""),1,0)+IF(O79&lt;&gt;"",1,0)+IF(P79&lt;&gt;"",1,0)+IF(Q79&lt;&gt;"",1,0)+IF(R79&lt;&gt;"",1,0)</f>
        <v>3</v>
      </c>
      <c r="T79" s="9"/>
    </row>
    <row r="80" customFormat="false" ht="23.85" hidden="false" customHeight="false" outlineLevel="0" collapsed="false">
      <c r="A80" s="18" t="s">
        <v>439</v>
      </c>
      <c r="B80" s="9" t="s">
        <v>221</v>
      </c>
      <c r="C80" s="18" t="s">
        <v>440</v>
      </c>
      <c r="D80" s="9" t="s">
        <v>199</v>
      </c>
      <c r="E80" s="9" t="s">
        <v>78</v>
      </c>
      <c r="F80" s="9" t="s">
        <v>79</v>
      </c>
      <c r="G80" s="9" t="s">
        <v>80</v>
      </c>
      <c r="H80" s="21"/>
      <c r="I80" s="21"/>
      <c r="J80" s="21"/>
      <c r="K80" s="21" t="s">
        <v>104</v>
      </c>
      <c r="L80" s="21"/>
      <c r="M80" s="9"/>
      <c r="N80" s="9"/>
      <c r="O80" s="9" t="s">
        <v>441</v>
      </c>
      <c r="P80" s="9" t="s">
        <v>404</v>
      </c>
      <c r="Q80" s="9" t="s">
        <v>399</v>
      </c>
      <c r="R80" s="9"/>
      <c r="S80" s="19" t="n">
        <f aca="false">IF(OR(M80&lt;&gt;"",N80&lt;&gt;""),1,0)+IF(O80&lt;&gt;"",1,0)+IF(P80&lt;&gt;"",1,0)+IF(Q80&lt;&gt;"",1,0)+IF(R80&lt;&gt;"",1,0)</f>
        <v>3</v>
      </c>
      <c r="T80" s="9"/>
    </row>
    <row r="81" customFormat="false" ht="23.85" hidden="false" customHeight="false" outlineLevel="0" collapsed="false">
      <c r="A81" s="18" t="s">
        <v>442</v>
      </c>
      <c r="B81" s="9" t="s">
        <v>221</v>
      </c>
      <c r="C81" s="18" t="s">
        <v>443</v>
      </c>
      <c r="D81" s="9"/>
      <c r="E81" s="9" t="s">
        <v>82</v>
      </c>
      <c r="F81" s="9" t="s">
        <v>83</v>
      </c>
      <c r="G81" s="9" t="s">
        <v>84</v>
      </c>
      <c r="H81" s="21"/>
      <c r="I81" s="21"/>
      <c r="J81" s="21"/>
      <c r="K81" s="21"/>
      <c r="L81" s="21" t="s">
        <v>104</v>
      </c>
      <c r="M81" s="9" t="s">
        <v>444</v>
      </c>
      <c r="N81" s="9"/>
      <c r="O81" s="9" t="s">
        <v>397</v>
      </c>
      <c r="P81" s="9" t="s">
        <v>445</v>
      </c>
      <c r="Q81" s="9" t="s">
        <v>399</v>
      </c>
      <c r="R81" s="9"/>
      <c r="S81" s="19" t="n">
        <f aca="false">IF(OR(M81&lt;&gt;"",N81&lt;&gt;""),1,0)+IF(O81&lt;&gt;"",1,0)+IF(P81&lt;&gt;"",1,0)+IF(Q81&lt;&gt;"",1,0)+IF(R81&lt;&gt;"",1,0)</f>
        <v>4</v>
      </c>
      <c r="T81" s="9"/>
    </row>
    <row r="82" customFormat="false" ht="23.85" hidden="false" customHeight="false" outlineLevel="0" collapsed="false">
      <c r="A82" s="18" t="s">
        <v>446</v>
      </c>
      <c r="B82" s="9" t="s">
        <v>221</v>
      </c>
      <c r="C82" s="18" t="s">
        <v>447</v>
      </c>
      <c r="D82" s="9"/>
      <c r="E82" s="9" t="s">
        <v>82</v>
      </c>
      <c r="F82" s="9" t="s">
        <v>83</v>
      </c>
      <c r="G82" s="9" t="s">
        <v>84</v>
      </c>
      <c r="H82" s="21"/>
      <c r="I82" s="21"/>
      <c r="J82" s="21"/>
      <c r="K82" s="21"/>
      <c r="L82" s="21" t="s">
        <v>104</v>
      </c>
      <c r="M82" s="9" t="s">
        <v>448</v>
      </c>
      <c r="N82" s="9"/>
      <c r="O82" s="9" t="s">
        <v>449</v>
      </c>
      <c r="P82" s="9" t="s">
        <v>450</v>
      </c>
      <c r="Q82" s="9" t="s">
        <v>161</v>
      </c>
      <c r="R82" s="9"/>
      <c r="S82" s="19" t="n">
        <f aca="false">IF(OR(M82&lt;&gt;"",N82&lt;&gt;""),1,0)+IF(O82&lt;&gt;"",1,0)+IF(P82&lt;&gt;"",1,0)+IF(Q82&lt;&gt;"",1,0)+IF(R82&lt;&gt;"",1,0)</f>
        <v>4</v>
      </c>
      <c r="T82" s="9"/>
    </row>
    <row r="83" customFormat="false" ht="23.85" hidden="false" customHeight="false" outlineLevel="0" collapsed="false">
      <c r="A83" s="18" t="s">
        <v>451</v>
      </c>
      <c r="B83" s="9" t="s">
        <v>221</v>
      </c>
      <c r="C83" s="18" t="s">
        <v>452</v>
      </c>
      <c r="D83" s="9"/>
      <c r="E83" s="9" t="s">
        <v>82</v>
      </c>
      <c r="F83" s="9" t="s">
        <v>83</v>
      </c>
      <c r="G83" s="9" t="s">
        <v>84</v>
      </c>
      <c r="H83" s="21"/>
      <c r="I83" s="21"/>
      <c r="J83" s="21"/>
      <c r="K83" s="21"/>
      <c r="L83" s="21" t="s">
        <v>104</v>
      </c>
      <c r="M83" s="9" t="s">
        <v>453</v>
      </c>
      <c r="N83" s="9"/>
      <c r="O83" s="9" t="s">
        <v>166</v>
      </c>
      <c r="P83" s="9" t="s">
        <v>454</v>
      </c>
      <c r="Q83" s="9" t="s">
        <v>168</v>
      </c>
      <c r="R83" s="9"/>
      <c r="S83" s="19" t="n">
        <f aca="false">IF(OR(M83&lt;&gt;"",N83&lt;&gt;""),1,0)+IF(O83&lt;&gt;"",1,0)+IF(P83&lt;&gt;"",1,0)+IF(Q83&lt;&gt;"",1,0)+IF(R83&lt;&gt;"",1,0)</f>
        <v>4</v>
      </c>
      <c r="T83" s="9"/>
    </row>
    <row r="84" customFormat="false" ht="23.85" hidden="false" customHeight="false" outlineLevel="0" collapsed="false">
      <c r="A84" s="18" t="s">
        <v>455</v>
      </c>
      <c r="B84" s="9" t="s">
        <v>221</v>
      </c>
      <c r="C84" s="18" t="s">
        <v>456</v>
      </c>
      <c r="D84" s="9"/>
      <c r="E84" s="9" t="s">
        <v>82</v>
      </c>
      <c r="F84" s="9" t="s">
        <v>83</v>
      </c>
      <c r="G84" s="9" t="s">
        <v>84</v>
      </c>
      <c r="H84" s="21"/>
      <c r="I84" s="21"/>
      <c r="J84" s="21"/>
      <c r="K84" s="21"/>
      <c r="L84" s="21" t="s">
        <v>104</v>
      </c>
      <c r="M84" s="9" t="s">
        <v>457</v>
      </c>
      <c r="N84" s="9"/>
      <c r="O84" s="9" t="s">
        <v>123</v>
      </c>
      <c r="P84" s="9" t="s">
        <v>201</v>
      </c>
      <c r="Q84" s="9" t="s">
        <v>202</v>
      </c>
      <c r="R84" s="9"/>
      <c r="S84" s="19" t="n">
        <f aca="false">IF(OR(M84&lt;&gt;"",N84&lt;&gt;""),1,0)+IF(O84&lt;&gt;"",1,0)+IF(P84&lt;&gt;"",1,0)+IF(Q84&lt;&gt;"",1,0)+IF(R84&lt;&gt;"",1,0)</f>
        <v>4</v>
      </c>
      <c r="T84" s="9"/>
    </row>
    <row r="85" customFormat="false" ht="23.85" hidden="false" customHeight="false" outlineLevel="0" collapsed="false">
      <c r="A85" s="18" t="s">
        <v>458</v>
      </c>
      <c r="B85" s="9" t="s">
        <v>221</v>
      </c>
      <c r="C85" s="18" t="s">
        <v>459</v>
      </c>
      <c r="D85" s="9"/>
      <c r="E85" s="9" t="s">
        <v>82</v>
      </c>
      <c r="F85" s="9" t="s">
        <v>83</v>
      </c>
      <c r="G85" s="9" t="s">
        <v>84</v>
      </c>
      <c r="H85" s="21"/>
      <c r="I85" s="21"/>
      <c r="J85" s="21"/>
      <c r="K85" s="21"/>
      <c r="L85" s="21" t="s">
        <v>104</v>
      </c>
      <c r="M85" s="9" t="s">
        <v>460</v>
      </c>
      <c r="N85" s="9"/>
      <c r="O85" s="9" t="s">
        <v>136</v>
      </c>
      <c r="P85" s="9" t="s">
        <v>461</v>
      </c>
      <c r="Q85" s="9" t="s">
        <v>161</v>
      </c>
      <c r="R85" s="9"/>
      <c r="S85" s="19" t="n">
        <f aca="false">IF(OR(M85&lt;&gt;"",N85&lt;&gt;""),1,0)+IF(O85&lt;&gt;"",1,0)+IF(P85&lt;&gt;"",1,0)+IF(Q85&lt;&gt;"",1,0)+IF(R85&lt;&gt;"",1,0)</f>
        <v>4</v>
      </c>
      <c r="T85" s="9"/>
    </row>
    <row r="86" customFormat="false" ht="23.85" hidden="false" customHeight="false" outlineLevel="0" collapsed="false">
      <c r="A86" s="18" t="s">
        <v>462</v>
      </c>
      <c r="B86" s="9" t="s">
        <v>221</v>
      </c>
      <c r="C86" s="18" t="s">
        <v>463</v>
      </c>
      <c r="D86" s="9" t="s">
        <v>149</v>
      </c>
      <c r="E86" s="9" t="s">
        <v>82</v>
      </c>
      <c r="F86" s="9" t="s">
        <v>83</v>
      </c>
      <c r="G86" s="9" t="s">
        <v>84</v>
      </c>
      <c r="H86" s="21"/>
      <c r="I86" s="21"/>
      <c r="J86" s="21"/>
      <c r="K86" s="21"/>
      <c r="L86" s="21" t="s">
        <v>104</v>
      </c>
      <c r="M86" s="9"/>
      <c r="N86" s="9"/>
      <c r="O86" s="9" t="s">
        <v>464</v>
      </c>
      <c r="P86" s="9" t="s">
        <v>465</v>
      </c>
      <c r="Q86" s="9" t="s">
        <v>399</v>
      </c>
      <c r="R86" s="9"/>
      <c r="S86" s="19" t="n">
        <f aca="false">IF(OR(M86&lt;&gt;"",N86&lt;&gt;""),1,0)+IF(O86&lt;&gt;"",1,0)+IF(P86&lt;&gt;"",1,0)+IF(Q86&lt;&gt;"",1,0)+IF(R86&lt;&gt;"",1,0)</f>
        <v>3</v>
      </c>
      <c r="T86" s="9"/>
    </row>
    <row r="87" customFormat="false" ht="23.85" hidden="false" customHeight="false" outlineLevel="0" collapsed="false">
      <c r="A87" s="18" t="s">
        <v>466</v>
      </c>
      <c r="B87" s="9" t="s">
        <v>221</v>
      </c>
      <c r="C87" s="18" t="s">
        <v>467</v>
      </c>
      <c r="D87" s="9" t="s">
        <v>149</v>
      </c>
      <c r="E87" s="9" t="s">
        <v>82</v>
      </c>
      <c r="F87" s="9" t="s">
        <v>83</v>
      </c>
      <c r="G87" s="9" t="s">
        <v>84</v>
      </c>
      <c r="H87" s="21"/>
      <c r="I87" s="21"/>
      <c r="J87" s="21"/>
      <c r="K87" s="21"/>
      <c r="L87" s="21" t="s">
        <v>104</v>
      </c>
      <c r="M87" s="9"/>
      <c r="N87" s="9"/>
      <c r="O87" s="9" t="s">
        <v>441</v>
      </c>
      <c r="P87" s="9" t="s">
        <v>207</v>
      </c>
      <c r="Q87" s="9" t="s">
        <v>362</v>
      </c>
      <c r="R87" s="9"/>
      <c r="S87" s="19" t="n">
        <f aca="false">IF(OR(M87&lt;&gt;"",N87&lt;&gt;""),1,0)+IF(O87&lt;&gt;"",1,0)+IF(P87&lt;&gt;"",1,0)+IF(Q87&lt;&gt;"",1,0)+IF(R87&lt;&gt;"",1,0)</f>
        <v>3</v>
      </c>
      <c r="T87" s="9"/>
    </row>
    <row r="88" customFormat="false" ht="23.85" hidden="false" customHeight="false" outlineLevel="0" collapsed="false">
      <c r="A88" s="18" t="s">
        <v>468</v>
      </c>
      <c r="B88" s="9" t="s">
        <v>221</v>
      </c>
      <c r="C88" s="18" t="s">
        <v>469</v>
      </c>
      <c r="D88" s="9" t="s">
        <v>156</v>
      </c>
      <c r="E88" s="9" t="s">
        <v>82</v>
      </c>
      <c r="F88" s="9" t="s">
        <v>83</v>
      </c>
      <c r="G88" s="9" t="s">
        <v>84</v>
      </c>
      <c r="H88" s="21"/>
      <c r="I88" s="21"/>
      <c r="J88" s="21"/>
      <c r="K88" s="21"/>
      <c r="L88" s="21" t="s">
        <v>104</v>
      </c>
      <c r="M88" s="9"/>
      <c r="N88" s="9"/>
      <c r="O88" s="9" t="s">
        <v>470</v>
      </c>
      <c r="P88" s="9" t="s">
        <v>471</v>
      </c>
      <c r="Q88" s="9" t="s">
        <v>161</v>
      </c>
      <c r="R88" s="9"/>
      <c r="S88" s="19" t="n">
        <f aca="false">IF(OR(M88&lt;&gt;"",N88&lt;&gt;""),1,0)+IF(O88&lt;&gt;"",1,0)+IF(P88&lt;&gt;"",1,0)+IF(Q88&lt;&gt;"",1,0)+IF(R88&lt;&gt;"",1,0)</f>
        <v>3</v>
      </c>
      <c r="T88" s="9"/>
    </row>
    <row r="89" customFormat="false" ht="23.85" hidden="false" customHeight="false" outlineLevel="0" collapsed="false">
      <c r="A89" s="18" t="s">
        <v>472</v>
      </c>
      <c r="B89" s="9" t="s">
        <v>221</v>
      </c>
      <c r="C89" s="18" t="s">
        <v>473</v>
      </c>
      <c r="D89" s="9" t="s">
        <v>156</v>
      </c>
      <c r="E89" s="9" t="s">
        <v>82</v>
      </c>
      <c r="F89" s="9" t="s">
        <v>83</v>
      </c>
      <c r="G89" s="9" t="s">
        <v>84</v>
      </c>
      <c r="H89" s="21"/>
      <c r="I89" s="21"/>
      <c r="J89" s="21"/>
      <c r="K89" s="21"/>
      <c r="L89" s="21" t="s">
        <v>104</v>
      </c>
      <c r="M89" s="9"/>
      <c r="N89" s="9"/>
      <c r="O89" s="9" t="s">
        <v>336</v>
      </c>
      <c r="P89" s="9" t="s">
        <v>474</v>
      </c>
      <c r="Q89" s="9" t="s">
        <v>161</v>
      </c>
      <c r="R89" s="9"/>
      <c r="S89" s="19" t="n">
        <f aca="false">IF(OR(M89&lt;&gt;"",N89&lt;&gt;""),1,0)+IF(O89&lt;&gt;"",1,0)+IF(P89&lt;&gt;"",1,0)+IF(Q89&lt;&gt;"",1,0)+IF(R89&lt;&gt;"",1,0)</f>
        <v>3</v>
      </c>
      <c r="T89" s="9"/>
    </row>
    <row r="90" customFormat="false" ht="23.85" hidden="false" customHeight="false" outlineLevel="0" collapsed="false">
      <c r="A90" s="18" t="s">
        <v>475</v>
      </c>
      <c r="B90" s="9" t="s">
        <v>221</v>
      </c>
      <c r="C90" s="18" t="s">
        <v>476</v>
      </c>
      <c r="D90" s="9" t="s">
        <v>171</v>
      </c>
      <c r="E90" s="9" t="s">
        <v>82</v>
      </c>
      <c r="F90" s="9" t="s">
        <v>83</v>
      </c>
      <c r="G90" s="9" t="s">
        <v>84</v>
      </c>
      <c r="H90" s="21"/>
      <c r="I90" s="21"/>
      <c r="J90" s="21"/>
      <c r="K90" s="21"/>
      <c r="L90" s="21" t="s">
        <v>104</v>
      </c>
      <c r="M90" s="9"/>
      <c r="N90" s="9"/>
      <c r="O90" s="9" t="s">
        <v>373</v>
      </c>
      <c r="P90" s="9" t="s">
        <v>477</v>
      </c>
      <c r="Q90" s="9" t="s">
        <v>375</v>
      </c>
      <c r="R90" s="9"/>
      <c r="S90" s="19" t="n">
        <f aca="false">IF(OR(M90&lt;&gt;"",N90&lt;&gt;""),1,0)+IF(O90&lt;&gt;"",1,0)+IF(P90&lt;&gt;"",1,0)+IF(Q90&lt;&gt;"",1,0)+IF(R90&lt;&gt;"",1,0)</f>
        <v>3</v>
      </c>
      <c r="T90" s="9"/>
    </row>
    <row r="91" customFormat="false" ht="23.85" hidden="false" customHeight="false" outlineLevel="0" collapsed="false">
      <c r="A91" s="18" t="s">
        <v>478</v>
      </c>
      <c r="B91" s="9" t="s">
        <v>221</v>
      </c>
      <c r="C91" s="18" t="s">
        <v>479</v>
      </c>
      <c r="D91" s="9" t="s">
        <v>171</v>
      </c>
      <c r="E91" s="9" t="s">
        <v>82</v>
      </c>
      <c r="F91" s="9" t="s">
        <v>83</v>
      </c>
      <c r="G91" s="9" t="s">
        <v>84</v>
      </c>
      <c r="H91" s="21"/>
      <c r="I91" s="21"/>
      <c r="J91" s="21"/>
      <c r="K91" s="21"/>
      <c r="L91" s="21" t="s">
        <v>104</v>
      </c>
      <c r="M91" s="9"/>
      <c r="N91" s="9"/>
      <c r="O91" s="9" t="s">
        <v>480</v>
      </c>
      <c r="P91" s="9" t="s">
        <v>477</v>
      </c>
      <c r="Q91" s="9" t="s">
        <v>375</v>
      </c>
      <c r="R91" s="9"/>
      <c r="S91" s="19" t="n">
        <f aca="false">IF(OR(M91&lt;&gt;"",N91&lt;&gt;""),1,0)+IF(O91&lt;&gt;"",1,0)+IF(P91&lt;&gt;"",1,0)+IF(Q91&lt;&gt;"",1,0)+IF(R91&lt;&gt;"",1,0)</f>
        <v>3</v>
      </c>
      <c r="T91" s="9"/>
    </row>
    <row r="92" customFormat="false" ht="23.85" hidden="false" customHeight="false" outlineLevel="0" collapsed="false">
      <c r="A92" s="18" t="s">
        <v>481</v>
      </c>
      <c r="B92" s="9" t="s">
        <v>221</v>
      </c>
      <c r="C92" s="18" t="s">
        <v>482</v>
      </c>
      <c r="D92" s="9" t="s">
        <v>186</v>
      </c>
      <c r="E92" s="9" t="s">
        <v>82</v>
      </c>
      <c r="F92" s="9" t="s">
        <v>83</v>
      </c>
      <c r="G92" s="9" t="s">
        <v>84</v>
      </c>
      <c r="H92" s="21"/>
      <c r="I92" s="21"/>
      <c r="J92" s="21"/>
      <c r="K92" s="21"/>
      <c r="L92" s="21" t="s">
        <v>104</v>
      </c>
      <c r="M92" s="9"/>
      <c r="N92" s="9"/>
      <c r="O92" s="9" t="s">
        <v>441</v>
      </c>
      <c r="P92" s="9" t="s">
        <v>264</v>
      </c>
      <c r="Q92" s="9" t="s">
        <v>362</v>
      </c>
      <c r="R92" s="9"/>
      <c r="S92" s="19" t="n">
        <f aca="false">IF(OR(M92&lt;&gt;"",N92&lt;&gt;""),1,0)+IF(O92&lt;&gt;"",1,0)+IF(P92&lt;&gt;"",1,0)+IF(Q92&lt;&gt;"",1,0)+IF(R92&lt;&gt;"",1,0)</f>
        <v>3</v>
      </c>
      <c r="T92" s="9"/>
    </row>
    <row r="93" customFormat="false" ht="23.85" hidden="false" customHeight="false" outlineLevel="0" collapsed="false">
      <c r="A93" s="18" t="s">
        <v>483</v>
      </c>
      <c r="B93" s="9" t="s">
        <v>221</v>
      </c>
      <c r="C93" s="18" t="s">
        <v>484</v>
      </c>
      <c r="D93" s="9" t="s">
        <v>186</v>
      </c>
      <c r="E93" s="9" t="s">
        <v>82</v>
      </c>
      <c r="F93" s="9" t="s">
        <v>83</v>
      </c>
      <c r="G93" s="9" t="s">
        <v>84</v>
      </c>
      <c r="H93" s="21"/>
      <c r="I93" s="21"/>
      <c r="J93" s="21"/>
      <c r="K93" s="21"/>
      <c r="L93" s="21" t="s">
        <v>104</v>
      </c>
      <c r="M93" s="9"/>
      <c r="N93" s="9"/>
      <c r="O93" s="9" t="s">
        <v>485</v>
      </c>
      <c r="P93" s="9" t="s">
        <v>486</v>
      </c>
      <c r="Q93" s="9" t="s">
        <v>362</v>
      </c>
      <c r="R93" s="9"/>
      <c r="S93" s="19" t="n">
        <f aca="false">IF(OR(M93&lt;&gt;"",N93&lt;&gt;""),1,0)+IF(O93&lt;&gt;"",1,0)+IF(P93&lt;&gt;"",1,0)+IF(Q93&lt;&gt;"",1,0)+IF(R93&lt;&gt;"",1,0)</f>
        <v>3</v>
      </c>
      <c r="T93" s="9"/>
    </row>
    <row r="94" customFormat="false" ht="23.85" hidden="false" customHeight="false" outlineLevel="0" collapsed="false">
      <c r="A94" s="18" t="s">
        <v>487</v>
      </c>
      <c r="B94" s="9" t="s">
        <v>221</v>
      </c>
      <c r="C94" s="18" t="s">
        <v>488</v>
      </c>
      <c r="D94" s="9" t="s">
        <v>199</v>
      </c>
      <c r="E94" s="9" t="s">
        <v>82</v>
      </c>
      <c r="F94" s="9" t="s">
        <v>83</v>
      </c>
      <c r="G94" s="9" t="s">
        <v>84</v>
      </c>
      <c r="H94" s="21"/>
      <c r="I94" s="21"/>
      <c r="J94" s="21"/>
      <c r="K94" s="21"/>
      <c r="L94" s="21" t="s">
        <v>104</v>
      </c>
      <c r="M94" s="9"/>
      <c r="N94" s="9"/>
      <c r="O94" s="9" t="s">
        <v>489</v>
      </c>
      <c r="P94" s="9" t="s">
        <v>490</v>
      </c>
      <c r="Q94" s="9" t="s">
        <v>265</v>
      </c>
      <c r="R94" s="9"/>
      <c r="S94" s="19" t="n">
        <f aca="false">IF(OR(M94&lt;&gt;"",N94&lt;&gt;""),1,0)+IF(O94&lt;&gt;"",1,0)+IF(P94&lt;&gt;"",1,0)+IF(Q94&lt;&gt;"",1,0)+IF(R94&lt;&gt;"",1,0)</f>
        <v>3</v>
      </c>
      <c r="T94" s="9"/>
    </row>
    <row r="95" customFormat="false" ht="23.85" hidden="false" customHeight="false" outlineLevel="0" collapsed="false">
      <c r="A95" s="18" t="s">
        <v>491</v>
      </c>
      <c r="B95" s="9" t="s">
        <v>221</v>
      </c>
      <c r="C95" s="18" t="s">
        <v>492</v>
      </c>
      <c r="D95" s="9" t="s">
        <v>199</v>
      </c>
      <c r="E95" s="9" t="s">
        <v>82</v>
      </c>
      <c r="F95" s="9" t="s">
        <v>83</v>
      </c>
      <c r="G95" s="9" t="s">
        <v>84</v>
      </c>
      <c r="H95" s="21"/>
      <c r="I95" s="21"/>
      <c r="J95" s="21"/>
      <c r="K95" s="21"/>
      <c r="L95" s="21" t="s">
        <v>104</v>
      </c>
      <c r="M95" s="9"/>
      <c r="N95" s="9"/>
      <c r="O95" s="9" t="s">
        <v>493</v>
      </c>
      <c r="P95" s="9" t="s">
        <v>494</v>
      </c>
      <c r="Q95" s="9" t="s">
        <v>168</v>
      </c>
      <c r="R95" s="9"/>
      <c r="S95" s="19" t="n">
        <f aca="false">IF(OR(M95&lt;&gt;"",N95&lt;&gt;""),1,0)+IF(O95&lt;&gt;"",1,0)+IF(P95&lt;&gt;"",1,0)+IF(Q95&lt;&gt;"",1,0)+IF(R95&lt;&gt;"",1,0)</f>
        <v>3</v>
      </c>
      <c r="T95" s="9"/>
    </row>
    <row r="97" customFormat="false" ht="15" hidden="false" customHeight="false" outlineLevel="0" collapsed="false">
      <c r="A97" s="8" t="s">
        <v>495</v>
      </c>
    </row>
  </sheetData>
  <autoFilter ref="A5:T95"/>
  <mergeCells count="5">
    <mergeCell ref="A2:T2"/>
    <mergeCell ref="A4:G4"/>
    <mergeCell ref="H4:L4"/>
    <mergeCell ref="M4:R4"/>
    <mergeCell ref="S4:T4"/>
  </mergeCells>
  <conditionalFormatting sqref="H6:L95">
    <cfRule type="cellIs" priority="2" operator="equal" aboveAverage="0" equalAverage="0" bottom="0" percent="0" rank="0" text="" dxfId="6">
      <formula>"Core"</formula>
    </cfRule>
    <cfRule type="cellIs" priority="3" operator="equal" aboveAverage="0" equalAverage="0" bottom="0" percent="0" rank="0" text="" dxfId="7">
      <formula>"Working"</formula>
    </cfRule>
  </conditionalFormatting>
  <conditionalFormatting sqref="S6:S95">
    <cfRule type="cellIs" priority="4" operator="lessThanOrEqual" aboveAverage="0" equalAverage="0" bottom="0" percent="0" rank="0" text="" dxfId="6">
      <formula>1</formula>
    </cfRule>
  </conditionalFormatting>
  <dataValidations count="2">
    <dataValidation allowBlank="true" errorStyle="stop" operator="between" showDropDown="false" showErrorMessage="false" showInputMessage="false" sqref="H6:L155" type="list">
      <formula1>"Core,Working,Aware"</formula1>
      <formula2>0</formula2>
    </dataValidation>
    <dataValidation allowBlank="true" errorStyle="stop" operator="between" showDropDown="false" showErrorMessage="false" showInputMessage="false" sqref="B6:B155" type="list">
      <formula1>"Core,Cluster,Pathway"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9D8F"/>
    <pageSetUpPr fitToPage="false"/>
  </sheetPr>
  <dimension ref="A1:K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8"/>
    <col collapsed="false" customWidth="true" hidden="false" outlineLevel="0" max="8" min="3" style="0" width="16"/>
    <col collapsed="false" customWidth="true" hidden="false" outlineLevel="0" max="9" min="9" style="0" width="14"/>
    <col collapsed="false" customWidth="true" hidden="false" outlineLevel="0" max="10" min="10" style="0" width="9"/>
    <col collapsed="false" customWidth="true" hidden="false" outlineLevel="0" max="11" min="11" style="0" width="20"/>
  </cols>
  <sheetData>
    <row r="1" customFormat="false" ht="22.05" hidden="false" customHeight="false" outlineLevel="0" collapsed="false">
      <c r="A1" s="16" t="s">
        <v>496</v>
      </c>
    </row>
    <row r="2" customFormat="false" ht="31.5" hidden="false" customHeight="true" outlineLevel="0" collapsed="false">
      <c r="A2" s="2" t="s">
        <v>497</v>
      </c>
      <c r="B2" s="2"/>
      <c r="C2" s="2"/>
      <c r="D2" s="2"/>
      <c r="E2" s="2"/>
      <c r="F2" s="2"/>
      <c r="G2" s="2"/>
      <c r="H2" s="2"/>
      <c r="I2" s="2"/>
      <c r="J2" s="2"/>
      <c r="K2" s="2"/>
    </row>
    <row r="3" customFormat="false" ht="15" hidden="false" customHeight="false" outlineLevel="0" collapsed="false">
      <c r="A3" s="8" t="s">
        <v>46</v>
      </c>
    </row>
    <row r="5" customFormat="false" ht="43.5" hidden="false" customHeight="true" outlineLevel="0" collapsed="false">
      <c r="A5" s="4" t="s">
        <v>498</v>
      </c>
      <c r="B5" s="4" t="s">
        <v>499</v>
      </c>
      <c r="C5" s="4" t="s">
        <v>500</v>
      </c>
      <c r="D5" s="4" t="s">
        <v>501</v>
      </c>
      <c r="E5" s="4" t="s">
        <v>502</v>
      </c>
      <c r="F5" s="4" t="s">
        <v>503</v>
      </c>
      <c r="G5" s="4" t="s">
        <v>504</v>
      </c>
      <c r="H5" s="4" t="s">
        <v>505</v>
      </c>
      <c r="I5" s="4" t="s">
        <v>506</v>
      </c>
      <c r="J5" s="4" t="s">
        <v>507</v>
      </c>
      <c r="K5" s="4" t="s">
        <v>508</v>
      </c>
    </row>
    <row r="6" customFormat="false" ht="43.5" hidden="false" customHeight="true" outlineLevel="0" collapsed="false">
      <c r="A6" s="22" t="s">
        <v>509</v>
      </c>
      <c r="B6" s="11" t="s">
        <v>510</v>
      </c>
      <c r="C6" s="9" t="s">
        <v>511</v>
      </c>
      <c r="D6" s="9" t="s">
        <v>512</v>
      </c>
      <c r="E6" s="9" t="s">
        <v>513</v>
      </c>
      <c r="F6" s="9" t="s">
        <v>514</v>
      </c>
      <c r="G6" s="9" t="s">
        <v>515</v>
      </c>
      <c r="H6" s="9" t="s">
        <v>516</v>
      </c>
      <c r="I6" s="9"/>
    </row>
    <row r="7" customFormat="false" ht="33.75" hidden="false" customHeight="true" outlineLevel="0" collapsed="false">
      <c r="A7" s="18" t="s">
        <v>517</v>
      </c>
      <c r="B7" s="9" t="s">
        <v>518</v>
      </c>
      <c r="C7" s="23" t="s">
        <v>519</v>
      </c>
      <c r="D7" s="23" t="s">
        <v>520</v>
      </c>
      <c r="E7" s="23" t="s">
        <v>520</v>
      </c>
      <c r="F7" s="23" t="s">
        <v>520</v>
      </c>
      <c r="G7" s="23"/>
      <c r="H7" s="23" t="s">
        <v>520</v>
      </c>
      <c r="I7" s="23"/>
      <c r="J7" s="19" t="n">
        <f aca="false">COUNTIF(C7:I7,"L")</f>
        <v>1</v>
      </c>
      <c r="K7" s="17" t="str">
        <f aca="false">IF(A7="","",IF(J7=0,"No lead",IF(J7&gt;1,"Multiple leads: clarify","OK")))</f>
        <v>OK</v>
      </c>
    </row>
    <row r="8" customFormat="false" ht="33.75" hidden="false" customHeight="true" outlineLevel="0" collapsed="false">
      <c r="A8" s="18" t="s">
        <v>521</v>
      </c>
      <c r="B8" s="9" t="s">
        <v>522</v>
      </c>
      <c r="C8" s="23" t="s">
        <v>519</v>
      </c>
      <c r="D8" s="23" t="s">
        <v>519</v>
      </c>
      <c r="E8" s="23"/>
      <c r="F8" s="23"/>
      <c r="G8" s="23"/>
      <c r="H8" s="23"/>
      <c r="I8" s="23"/>
      <c r="J8" s="19" t="n">
        <f aca="false">COUNTIF(C8:I8,"L")</f>
        <v>2</v>
      </c>
      <c r="K8" s="17" t="str">
        <f aca="false">IF(A8="","",IF(J8=0,"No lead",IF(J8&gt;1,"Multiple leads: clarify","OK")))</f>
        <v>Multiple leads: clarify</v>
      </c>
    </row>
    <row r="9" customFormat="false" ht="33.75" hidden="false" customHeight="true" outlineLevel="0" collapsed="false">
      <c r="A9" s="18" t="s">
        <v>523</v>
      </c>
      <c r="B9" s="9" t="s">
        <v>524</v>
      </c>
      <c r="C9" s="23"/>
      <c r="D9" s="23" t="s">
        <v>519</v>
      </c>
      <c r="E9" s="23"/>
      <c r="F9" s="23" t="s">
        <v>520</v>
      </c>
      <c r="G9" s="23" t="s">
        <v>520</v>
      </c>
      <c r="H9" s="23"/>
      <c r="I9" s="23"/>
      <c r="J9" s="19" t="n">
        <f aca="false">COUNTIF(C9:I9,"L")</f>
        <v>1</v>
      </c>
      <c r="K9" s="17" t="str">
        <f aca="false">IF(A9="","",IF(J9=0,"No lead",IF(J9&gt;1,"Multiple leads: clarify","OK")))</f>
        <v>OK</v>
      </c>
    </row>
    <row r="10" customFormat="false" ht="33.75" hidden="false" customHeight="true" outlineLevel="0" collapsed="false">
      <c r="A10" s="18" t="s">
        <v>525</v>
      </c>
      <c r="B10" s="9" t="s">
        <v>526</v>
      </c>
      <c r="C10" s="23"/>
      <c r="D10" s="23" t="s">
        <v>519</v>
      </c>
      <c r="E10" s="23"/>
      <c r="F10" s="23" t="s">
        <v>520</v>
      </c>
      <c r="G10" s="23"/>
      <c r="H10" s="23"/>
      <c r="I10" s="23"/>
      <c r="J10" s="19" t="n">
        <f aca="false">COUNTIF(C10:I10,"L")</f>
        <v>1</v>
      </c>
      <c r="K10" s="17" t="str">
        <f aca="false">IF(A10="","",IF(J10=0,"No lead",IF(J10&gt;1,"Multiple leads: clarify","OK")))</f>
        <v>OK</v>
      </c>
    </row>
    <row r="11" customFormat="false" ht="33.75" hidden="false" customHeight="true" outlineLevel="0" collapsed="false">
      <c r="A11" s="18" t="s">
        <v>527</v>
      </c>
      <c r="B11" s="9" t="s">
        <v>528</v>
      </c>
      <c r="C11" s="23"/>
      <c r="D11" s="23" t="s">
        <v>520</v>
      </c>
      <c r="E11" s="23" t="s">
        <v>519</v>
      </c>
      <c r="F11" s="23" t="s">
        <v>520</v>
      </c>
      <c r="G11" s="23"/>
      <c r="H11" s="23"/>
      <c r="I11" s="23"/>
      <c r="J11" s="19" t="n">
        <f aca="false">COUNTIF(C11:I11,"L")</f>
        <v>1</v>
      </c>
      <c r="K11" s="17" t="str">
        <f aca="false">IF(A11="","",IF(J11=0,"No lead",IF(J11&gt;1,"Multiple leads: clarify","OK")))</f>
        <v>OK</v>
      </c>
    </row>
    <row r="12" customFormat="false" ht="33.75" hidden="false" customHeight="true" outlineLevel="0" collapsed="false">
      <c r="A12" s="18" t="s">
        <v>529</v>
      </c>
      <c r="B12" s="9" t="s">
        <v>530</v>
      </c>
      <c r="C12" s="23"/>
      <c r="D12" s="23" t="s">
        <v>520</v>
      </c>
      <c r="E12" s="23" t="s">
        <v>519</v>
      </c>
      <c r="F12" s="23"/>
      <c r="G12" s="23"/>
      <c r="H12" s="23"/>
      <c r="I12" s="23"/>
      <c r="J12" s="19" t="n">
        <f aca="false">COUNTIF(C12:I12,"L")</f>
        <v>1</v>
      </c>
      <c r="K12" s="17" t="str">
        <f aca="false">IF(A12="","",IF(J12=0,"No lead",IF(J12&gt;1,"Multiple leads: clarify","OK")))</f>
        <v>OK</v>
      </c>
    </row>
    <row r="13" customFormat="false" ht="33.75" hidden="false" customHeight="true" outlineLevel="0" collapsed="false">
      <c r="A13" s="18" t="s">
        <v>531</v>
      </c>
      <c r="B13" s="9" t="s">
        <v>532</v>
      </c>
      <c r="C13" s="23"/>
      <c r="D13" s="23" t="s">
        <v>520</v>
      </c>
      <c r="E13" s="23"/>
      <c r="F13" s="23" t="s">
        <v>519</v>
      </c>
      <c r="G13" s="23"/>
      <c r="H13" s="23"/>
      <c r="I13" s="23"/>
      <c r="J13" s="19" t="n">
        <f aca="false">COUNTIF(C13:I13,"L")</f>
        <v>1</v>
      </c>
      <c r="K13" s="17" t="str">
        <f aca="false">IF(A13="","",IF(J13=0,"No lead",IF(J13&gt;1,"Multiple leads: clarify","OK")))</f>
        <v>OK</v>
      </c>
    </row>
    <row r="14" customFormat="false" ht="33.75" hidden="false" customHeight="true" outlineLevel="0" collapsed="false">
      <c r="A14" s="18" t="s">
        <v>533</v>
      </c>
      <c r="B14" s="9" t="s">
        <v>534</v>
      </c>
      <c r="C14" s="23"/>
      <c r="D14" s="23" t="s">
        <v>520</v>
      </c>
      <c r="E14" s="23"/>
      <c r="F14" s="23" t="s">
        <v>519</v>
      </c>
      <c r="G14" s="23" t="s">
        <v>520</v>
      </c>
      <c r="H14" s="23"/>
      <c r="I14" s="23"/>
      <c r="J14" s="19" t="n">
        <f aca="false">COUNTIF(C14:I14,"L")</f>
        <v>1</v>
      </c>
      <c r="K14" s="17" t="str">
        <f aca="false">IF(A14="","",IF(J14=0,"No lead",IF(J14&gt;1,"Multiple leads: clarify","OK")))</f>
        <v>OK</v>
      </c>
    </row>
    <row r="15" customFormat="false" ht="33.75" hidden="false" customHeight="true" outlineLevel="0" collapsed="false">
      <c r="A15" s="18" t="s">
        <v>535</v>
      </c>
      <c r="B15" s="9" t="s">
        <v>536</v>
      </c>
      <c r="C15" s="23"/>
      <c r="D15" s="23" t="s">
        <v>520</v>
      </c>
      <c r="E15" s="23"/>
      <c r="F15" s="23" t="s">
        <v>520</v>
      </c>
      <c r="G15" s="23" t="s">
        <v>519</v>
      </c>
      <c r="H15" s="23"/>
      <c r="I15" s="23"/>
      <c r="J15" s="19" t="n">
        <f aca="false">COUNTIF(C15:I15,"L")</f>
        <v>1</v>
      </c>
      <c r="K15" s="17" t="str">
        <f aca="false">IF(A15="","",IF(J15=0,"No lead",IF(J15&gt;1,"Multiple leads: clarify","OK")))</f>
        <v>OK</v>
      </c>
    </row>
    <row r="16" customFormat="false" ht="33.75" hidden="false" customHeight="true" outlineLevel="0" collapsed="false">
      <c r="A16" s="18" t="s">
        <v>537</v>
      </c>
      <c r="B16" s="9" t="s">
        <v>538</v>
      </c>
      <c r="C16" s="23"/>
      <c r="D16" s="23" t="s">
        <v>520</v>
      </c>
      <c r="E16" s="23"/>
      <c r="F16" s="23" t="s">
        <v>520</v>
      </c>
      <c r="G16" s="23"/>
      <c r="H16" s="23" t="s">
        <v>519</v>
      </c>
      <c r="I16" s="23"/>
      <c r="J16" s="19" t="n">
        <f aca="false">COUNTIF(C16:I16,"L")</f>
        <v>1</v>
      </c>
      <c r="K16" s="17" t="str">
        <f aca="false">IF(A16="","",IF(J16=0,"No lead",IF(J16&gt;1,"Multiple leads: clarify","OK")))</f>
        <v>OK</v>
      </c>
    </row>
    <row r="17" customFormat="false" ht="15" hidden="false" customHeight="false" outlineLevel="0" collapsed="false">
      <c r="A17" s="9"/>
      <c r="B17" s="9"/>
      <c r="C17" s="21"/>
      <c r="D17" s="21"/>
      <c r="E17" s="21"/>
      <c r="F17" s="21"/>
      <c r="G17" s="21"/>
      <c r="H17" s="21"/>
      <c r="I17" s="21"/>
      <c r="J17" s="19" t="n">
        <f aca="false">COUNTIF(C17:I17,"L")</f>
        <v>0</v>
      </c>
      <c r="K17" s="17" t="str">
        <f aca="false">IF(A17="","",IF(J17=0,"No lead",IF(J17&gt;1,"Multiple leads: clarify","OK")))</f>
        <v/>
      </c>
    </row>
    <row r="18" customFormat="false" ht="15" hidden="false" customHeight="false" outlineLevel="0" collapsed="false">
      <c r="A18" s="9"/>
      <c r="B18" s="9"/>
      <c r="C18" s="21"/>
      <c r="D18" s="21"/>
      <c r="E18" s="21"/>
      <c r="F18" s="21"/>
      <c r="G18" s="21"/>
      <c r="H18" s="21"/>
      <c r="I18" s="21"/>
      <c r="J18" s="19" t="n">
        <f aca="false">COUNTIF(C18:I18,"L")</f>
        <v>0</v>
      </c>
      <c r="K18" s="17" t="str">
        <f aca="false">IF(A18="","",IF(J18=0,"No lead",IF(J18&gt;1,"Multiple leads: clarify","OK")))</f>
        <v/>
      </c>
    </row>
    <row r="19" customFormat="false" ht="15" hidden="false" customHeight="false" outlineLevel="0" collapsed="false">
      <c r="A19" s="9"/>
      <c r="B19" s="9"/>
      <c r="C19" s="21"/>
      <c r="D19" s="21"/>
      <c r="E19" s="21"/>
      <c r="F19" s="21"/>
      <c r="G19" s="21"/>
      <c r="H19" s="21"/>
      <c r="I19" s="21"/>
      <c r="J19" s="19" t="n">
        <f aca="false">COUNTIF(C19:I19,"L")</f>
        <v>0</v>
      </c>
      <c r="K19" s="17" t="str">
        <f aca="false">IF(A19="","",IF(J19=0,"No lead",IF(J19&gt;1,"Multiple leads: clarify","OK")))</f>
        <v/>
      </c>
    </row>
    <row r="21" customFormat="false" ht="15" hidden="false" customHeight="false" outlineLevel="0" collapsed="false">
      <c r="A21" s="8" t="s">
        <v>539</v>
      </c>
    </row>
  </sheetData>
  <mergeCells count="1">
    <mergeCell ref="A2:K2"/>
  </mergeCells>
  <conditionalFormatting sqref="C7:I19">
    <cfRule type="cellIs" priority="2" operator="equal" aboveAverage="0" equalAverage="0" bottom="0" percent="0" rank="0" text="" dxfId="8">
      <formula>"L"</formula>
    </cfRule>
  </conditionalFormatting>
  <conditionalFormatting sqref="K7:K19">
    <cfRule type="cellIs" priority="3" operator="equal" aboveAverage="0" equalAverage="0" bottom="0" percent="0" rank="0" text="" dxfId="9">
      <formula>"No lead"</formula>
    </cfRule>
    <cfRule type="cellIs" priority="4" operator="equal" aboveAverage="0" equalAverage="0" bottom="0" percent="0" rank="0" text="" dxfId="10">
      <formula>"Multiple leads: clarify"</formula>
    </cfRule>
    <cfRule type="cellIs" priority="5" operator="equal" aboveAverage="0" equalAverage="0" bottom="0" percent="0" rank="0" text="" dxfId="11">
      <formula>"OK"</formula>
    </cfRule>
  </conditionalFormatting>
  <dataValidations count="1">
    <dataValidation allowBlank="true" errorStyle="stop" operator="between" showDropDown="false" showErrorMessage="false" showInputMessage="false" sqref="C7:I19" type="list">
      <formula1>"L,S"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9D8F"/>
    <pageSetUpPr fitToPage="false"/>
  </sheetPr>
  <dimension ref="A1:O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9"/>
    <col collapsed="false" customWidth="true" hidden="false" outlineLevel="0" max="4" min="4" style="0" width="22"/>
    <col collapsed="false" customWidth="true" hidden="false" outlineLevel="0" max="5" min="5" style="0" width="18"/>
    <col collapsed="false" customWidth="true" hidden="false" outlineLevel="0" max="6" min="6" style="0" width="9"/>
    <col collapsed="false" customWidth="true" hidden="false" outlineLevel="0" max="7" min="7" style="0" width="11"/>
    <col collapsed="false" customWidth="true" hidden="false" outlineLevel="0" max="8" min="8" style="0" width="9"/>
    <col collapsed="false" customWidth="true" hidden="false" outlineLevel="0" max="9" min="9" style="0" width="28"/>
    <col collapsed="false" customWidth="true" hidden="false" outlineLevel="0" max="11" min="10" style="0" width="10"/>
    <col collapsed="false" customWidth="true" hidden="false" outlineLevel="0" max="12" min="12" style="0" width="11"/>
    <col collapsed="false" customWidth="true" hidden="false" outlineLevel="0" max="13" min="13" style="0" width="22"/>
    <col collapsed="false" customWidth="true" hidden="false" outlineLevel="0" max="14" min="14" style="0" width="30"/>
    <col collapsed="false" customWidth="true" hidden="false" outlineLevel="0" max="15" min="15" style="0" width="16"/>
  </cols>
  <sheetData>
    <row r="1" customFormat="false" ht="22.05" hidden="false" customHeight="false" outlineLevel="0" collapsed="false">
      <c r="A1" s="16" t="s">
        <v>540</v>
      </c>
    </row>
    <row r="2" customFormat="false" ht="31.5" hidden="false" customHeight="true" outlineLevel="0" collapsed="false">
      <c r="A2" s="2" t="s">
        <v>541</v>
      </c>
      <c r="B2" s="2"/>
      <c r="C2" s="2"/>
      <c r="D2" s="2"/>
      <c r="E2" s="2"/>
      <c r="F2" s="2"/>
      <c r="G2" s="2"/>
      <c r="H2" s="2"/>
      <c r="I2" s="2"/>
      <c r="J2" s="2"/>
      <c r="K2" s="2"/>
      <c r="L2" s="2"/>
      <c r="M2" s="2"/>
      <c r="N2" s="2"/>
      <c r="O2" s="2"/>
    </row>
    <row r="3" customFormat="false" ht="15" hidden="false" customHeight="false" outlineLevel="0" collapsed="false">
      <c r="A3" s="8" t="s">
        <v>46</v>
      </c>
    </row>
    <row r="5" customFormat="false" ht="43.5" hidden="false" customHeight="true" outlineLevel="0" collapsed="false">
      <c r="A5" s="4" t="s">
        <v>47</v>
      </c>
      <c r="B5" s="4" t="s">
        <v>87</v>
      </c>
      <c r="C5" s="4" t="s">
        <v>91</v>
      </c>
      <c r="D5" s="4" t="s">
        <v>221</v>
      </c>
      <c r="E5" s="4" t="s">
        <v>542</v>
      </c>
      <c r="F5" s="4" t="s">
        <v>543</v>
      </c>
      <c r="G5" s="4" t="s">
        <v>544</v>
      </c>
      <c r="H5" s="4" t="s">
        <v>102</v>
      </c>
      <c r="I5" s="4" t="s">
        <v>508</v>
      </c>
      <c r="J5" s="4" t="s">
        <v>545</v>
      </c>
      <c r="K5" s="4" t="s">
        <v>546</v>
      </c>
      <c r="L5" s="4" t="s">
        <v>547</v>
      </c>
      <c r="M5" s="4" t="s">
        <v>548</v>
      </c>
      <c r="N5" s="4" t="s">
        <v>549</v>
      </c>
      <c r="O5" s="4" t="s">
        <v>550</v>
      </c>
    </row>
    <row r="6" customFormat="false" ht="15" hidden="false" customHeight="false" outlineLevel="0" collapsed="false">
      <c r="A6" s="22" t="str">
        <f aca="false">IF('2 Competency Spine'!A6="","",'2 Competency Spine'!A6)</f>
        <v>C-01</v>
      </c>
      <c r="B6" s="11" t="str">
        <f aca="false">IF('2 Competency Spine'!C6="","",'2 Competency Spine'!C6)</f>
        <v>Communication</v>
      </c>
      <c r="C6" s="11" t="str">
        <f aca="false">IF('2 Competency Spine'!B6="","",'2 Competency Spine'!B6)</f>
        <v>Core</v>
      </c>
      <c r="D6" s="11" t="str">
        <f aca="false">IF('2 Competency Spine'!E6="","",'2 Competency Spine'!E6)</f>
        <v>All pathways</v>
      </c>
      <c r="E6" s="11" t="str">
        <f aca="false">IF('2 Competency Spine'!O6="","",'2 Competency Spine'!O6)</f>
        <v>MNT140</v>
      </c>
      <c r="F6" s="19" t="n">
        <f aca="false">IF(TRIM(E6)="",0,LEN(E6)-LEN(SUBSTITUTE(E6,"/",""))+1)</f>
        <v>1</v>
      </c>
      <c r="G6" s="19" t="str">
        <f aca="false">IF(A6="","",IF(OR('2 Competency Spine'!M6&lt;&gt;"",'2 Competency Spine'!N6&lt;&gt;""),"Yes","No"))</f>
        <v>Yes</v>
      </c>
      <c r="H6" s="19" t="n">
        <f aca="false">'2 Competency Spine'!S6</f>
        <v>4</v>
      </c>
      <c r="I6" s="22" t="str">
        <f aca="false">IF(A6="","",IF(H6=0,"Gap: not taught anywhere",IF(F6=0,"Gap: no community college offering",IF(F6&gt;1,"Check: multiple CC courses",IF(G6="No","Covered: no high school on-ramp","Covered")))))</f>
        <v>Covered</v>
      </c>
      <c r="J6" s="21"/>
      <c r="K6" s="21"/>
      <c r="L6" s="21"/>
      <c r="M6" s="22" t="str">
        <f aca="false">IF(LEFT(I6,5)&lt;&gt;"Check","",IF(COUNTIF(J6:L6,"Yes")+COUNTIF(J6:L6,"No")&lt;3,"Answer the 3 questions",IF(COUNTIF(J6:L6,"Yes")=3,"Duplication: coordinate","Healthy on-ramp: keep")))</f>
        <v/>
      </c>
      <c r="N6" s="9"/>
      <c r="O6" s="9"/>
    </row>
    <row r="7" customFormat="false" ht="15" hidden="false" customHeight="false" outlineLevel="0" collapsed="false">
      <c r="A7" s="22" t="str">
        <f aca="false">IF('2 Competency Spine'!A7="","",'2 Competency Spine'!A7)</f>
        <v>C-02</v>
      </c>
      <c r="B7" s="11" t="str">
        <f aca="false">IF('2 Competency Spine'!C7="","",'2 Competency Spine'!C7)</f>
        <v>Collaboration</v>
      </c>
      <c r="C7" s="11" t="str">
        <f aca="false">IF('2 Competency Spine'!B7="","",'2 Competency Spine'!B7)</f>
        <v>Core</v>
      </c>
      <c r="D7" s="11" t="str">
        <f aca="false">IF('2 Competency Spine'!E7="","",'2 Competency Spine'!E7)</f>
        <v>All pathways</v>
      </c>
      <c r="E7" s="11" t="str">
        <f aca="false">IF('2 Competency Spine'!O7="","",'2 Competency Spine'!O7)</f>
        <v>MNT140</v>
      </c>
      <c r="F7" s="19" t="n">
        <f aca="false">IF(TRIM(E7)="",0,LEN(E7)-LEN(SUBSTITUTE(E7,"/",""))+1)</f>
        <v>1</v>
      </c>
      <c r="G7" s="19" t="str">
        <f aca="false">IF(A7="","",IF(OR('2 Competency Spine'!M7&lt;&gt;"",'2 Competency Spine'!N7&lt;&gt;""),"Yes","No"))</f>
        <v>Yes</v>
      </c>
      <c r="H7" s="19" t="n">
        <f aca="false">'2 Competency Spine'!S7</f>
        <v>4</v>
      </c>
      <c r="I7" s="22" t="str">
        <f aca="false">IF(A7="","",IF(H7=0,"Gap: not taught anywhere",IF(F7=0,"Gap: no community college offering",IF(F7&gt;1,"Check: multiple CC courses",IF(G7="No","Covered: no high school on-ramp","Covered")))))</f>
        <v>Covered</v>
      </c>
      <c r="J7" s="21"/>
      <c r="K7" s="21"/>
      <c r="L7" s="21"/>
      <c r="M7" s="22" t="str">
        <f aca="false">IF(LEFT(I7,5)&lt;&gt;"Check","",IF(COUNTIF(J7:L7,"Yes")+COUNTIF(J7:L7,"No")&lt;3,"Answer the 3 questions",IF(COUNTIF(J7:L7,"Yes")=3,"Duplication: coordinate","Healthy on-ramp: keep")))</f>
        <v/>
      </c>
      <c r="N7" s="9"/>
      <c r="O7" s="9"/>
    </row>
    <row r="8" customFormat="false" ht="15" hidden="false" customHeight="false" outlineLevel="0" collapsed="false">
      <c r="A8" s="22" t="str">
        <f aca="false">IF('2 Competency Spine'!A8="","",'2 Competency Spine'!A8)</f>
        <v>C-03</v>
      </c>
      <c r="B8" s="11" t="str">
        <f aca="false">IF('2 Competency Spine'!C8="","",'2 Competency Spine'!C8)</f>
        <v>Digital Fluency</v>
      </c>
      <c r="C8" s="11" t="str">
        <f aca="false">IF('2 Competency Spine'!B8="","",'2 Competency Spine'!B8)</f>
        <v>Core</v>
      </c>
      <c r="D8" s="11" t="str">
        <f aca="false">IF('2 Competency Spine'!E8="","",'2 Competency Spine'!E8)</f>
        <v>All pathways</v>
      </c>
      <c r="E8" s="11" t="str">
        <f aca="false">IF('2 Competency Spine'!O8="","",'2 Competency Spine'!O8)</f>
        <v>AIT132</v>
      </c>
      <c r="F8" s="19" t="n">
        <f aca="false">IF(TRIM(E8)="",0,LEN(E8)-LEN(SUBSTITUTE(E8,"/",""))+1)</f>
        <v>1</v>
      </c>
      <c r="G8" s="19" t="str">
        <f aca="false">IF(A8="","",IF(OR('2 Competency Spine'!M8&lt;&gt;"",'2 Competency Spine'!N8&lt;&gt;""),"Yes","No"))</f>
        <v>Yes</v>
      </c>
      <c r="H8" s="19" t="n">
        <f aca="false">'2 Competency Spine'!S8</f>
        <v>4</v>
      </c>
      <c r="I8" s="22" t="str">
        <f aca="false">IF(A8="","",IF(H8=0,"Gap: not taught anywhere",IF(F8=0,"Gap: no community college offering",IF(F8&gt;1,"Check: multiple CC courses",IF(G8="No","Covered: no high school on-ramp","Covered")))))</f>
        <v>Covered</v>
      </c>
      <c r="J8" s="21"/>
      <c r="K8" s="21"/>
      <c r="L8" s="21"/>
      <c r="M8" s="22" t="str">
        <f aca="false">IF(LEFT(I8,5)&lt;&gt;"Check","",IF(COUNTIF(J8:L8,"Yes")+COUNTIF(J8:L8,"No")&lt;3,"Answer the 3 questions",IF(COUNTIF(J8:L8,"Yes")=3,"Duplication: coordinate","Healthy on-ramp: keep")))</f>
        <v/>
      </c>
      <c r="N8" s="9"/>
      <c r="O8" s="9"/>
    </row>
    <row r="9" customFormat="false" ht="15" hidden="false" customHeight="false" outlineLevel="0" collapsed="false">
      <c r="A9" s="22" t="str">
        <f aca="false">IF('2 Competency Spine'!A9="","",'2 Competency Spine'!A9)</f>
        <v>C-04</v>
      </c>
      <c r="B9" s="11" t="str">
        <f aca="false">IF('2 Competency Spine'!C9="","",'2 Competency Spine'!C9)</f>
        <v>Critical Thinking &amp; Problem Solving</v>
      </c>
      <c r="C9" s="11" t="str">
        <f aca="false">IF('2 Competency Spine'!B9="","",'2 Competency Spine'!B9)</f>
        <v>Core</v>
      </c>
      <c r="D9" s="11" t="str">
        <f aca="false">IF('2 Competency Spine'!E9="","",'2 Competency Spine'!E9)</f>
        <v>All pathways</v>
      </c>
      <c r="E9" s="11" t="str">
        <f aca="false">IF('2 Competency Spine'!O9="","",'2 Competency Spine'!O9)</f>
        <v>AIT132</v>
      </c>
      <c r="F9" s="19" t="n">
        <f aca="false">IF(TRIM(E9)="",0,LEN(E9)-LEN(SUBSTITUTE(E9,"/",""))+1)</f>
        <v>1</v>
      </c>
      <c r="G9" s="19" t="str">
        <f aca="false">IF(A9="","",IF(OR('2 Competency Spine'!M9&lt;&gt;"",'2 Competency Spine'!N9&lt;&gt;""),"Yes","No"))</f>
        <v>Yes</v>
      </c>
      <c r="H9" s="19" t="n">
        <f aca="false">'2 Competency Spine'!S9</f>
        <v>4</v>
      </c>
      <c r="I9" s="22" t="str">
        <f aca="false">IF(A9="","",IF(H9=0,"Gap: not taught anywhere",IF(F9=0,"Gap: no community college offering",IF(F9&gt;1,"Check: multiple CC courses",IF(G9="No","Covered: no high school on-ramp","Covered")))))</f>
        <v>Covered</v>
      </c>
      <c r="J9" s="21"/>
      <c r="K9" s="21"/>
      <c r="L9" s="21"/>
      <c r="M9" s="22" t="str">
        <f aca="false">IF(LEFT(I9,5)&lt;&gt;"Check","",IF(COUNTIF(J9:L9,"Yes")+COUNTIF(J9:L9,"No")&lt;3,"Answer the 3 questions",IF(COUNTIF(J9:L9,"Yes")=3,"Duplication: coordinate","Healthy on-ramp: keep")))</f>
        <v/>
      </c>
      <c r="N9" s="9"/>
      <c r="O9" s="9"/>
    </row>
    <row r="10" customFormat="false" ht="15" hidden="false" customHeight="false" outlineLevel="0" collapsed="false">
      <c r="A10" s="22" t="str">
        <f aca="false">IF('2 Competency Spine'!A10="","",'2 Competency Spine'!A10)</f>
        <v>C-05</v>
      </c>
      <c r="B10" s="11" t="str">
        <f aca="false">IF('2 Competency Spine'!C10="","",'2 Competency Spine'!C10)</f>
        <v>Numeracy</v>
      </c>
      <c r="C10" s="11" t="str">
        <f aca="false">IF('2 Competency Spine'!B10="","",'2 Competency Spine'!B10)</f>
        <v>Core</v>
      </c>
      <c r="D10" s="11" t="str">
        <f aca="false">IF('2 Competency Spine'!E10="","",'2 Competency Spine'!E10)</f>
        <v>All pathways</v>
      </c>
      <c r="E10" s="11" t="str">
        <f aca="false">IF('2 Competency Spine'!O10="","",'2 Competency Spine'!O10)</f>
        <v>MNT235</v>
      </c>
      <c r="F10" s="19" t="n">
        <f aca="false">IF(TRIM(E10)="",0,LEN(E10)-LEN(SUBSTITUTE(E10,"/",""))+1)</f>
        <v>1</v>
      </c>
      <c r="G10" s="19" t="str">
        <f aca="false">IF(A10="","",IF(OR('2 Competency Spine'!M10&lt;&gt;"",'2 Competency Spine'!N10&lt;&gt;""),"Yes","No"))</f>
        <v>Yes</v>
      </c>
      <c r="H10" s="19" t="n">
        <f aca="false">'2 Competency Spine'!S10</f>
        <v>4</v>
      </c>
      <c r="I10" s="22" t="str">
        <f aca="false">IF(A10="","",IF(H10=0,"Gap: not taught anywhere",IF(F10=0,"Gap: no community college offering",IF(F10&gt;1,"Check: multiple CC courses",IF(G10="No","Covered: no high school on-ramp","Covered")))))</f>
        <v>Covered</v>
      </c>
      <c r="J10" s="21"/>
      <c r="K10" s="21"/>
      <c r="L10" s="21"/>
      <c r="M10" s="22" t="str">
        <f aca="false">IF(LEFT(I10,5)&lt;&gt;"Check","",IF(COUNTIF(J10:L10,"Yes")+COUNTIF(J10:L10,"No")&lt;3,"Answer the 3 questions",IF(COUNTIF(J10:L10,"Yes")=3,"Duplication: coordinate","Healthy on-ramp: keep")))</f>
        <v/>
      </c>
      <c r="N10" s="9"/>
      <c r="O10" s="9"/>
    </row>
    <row r="11" customFormat="false" ht="15" hidden="false" customHeight="false" outlineLevel="0" collapsed="false">
      <c r="A11" s="22" t="str">
        <f aca="false">IF('2 Competency Spine'!A11="","",'2 Competency Spine'!A11)</f>
        <v>C-06</v>
      </c>
      <c r="B11" s="11" t="str">
        <f aca="false">IF('2 Competency Spine'!C11="","",'2 Competency Spine'!C11)</f>
        <v>Reading &amp; Writing</v>
      </c>
      <c r="C11" s="11" t="str">
        <f aca="false">IF('2 Competency Spine'!B11="","",'2 Competency Spine'!B11)</f>
        <v>Core</v>
      </c>
      <c r="D11" s="11" t="str">
        <f aca="false">IF('2 Competency Spine'!E11="","",'2 Competency Spine'!E11)</f>
        <v>All pathways</v>
      </c>
      <c r="E11" s="11" t="str">
        <f aca="false">IF('2 Competency Spine'!O11="","",'2 Competency Spine'!O11)</f>
        <v>ENG101</v>
      </c>
      <c r="F11" s="19" t="n">
        <f aca="false">IF(TRIM(E11)="",0,LEN(E11)-LEN(SUBSTITUTE(E11,"/",""))+1)</f>
        <v>1</v>
      </c>
      <c r="G11" s="19" t="str">
        <f aca="false">IF(A11="","",IF(OR('2 Competency Spine'!M11&lt;&gt;"",'2 Competency Spine'!N11&lt;&gt;""),"Yes","No"))</f>
        <v>Yes</v>
      </c>
      <c r="H11" s="19" t="n">
        <f aca="false">'2 Competency Spine'!S11</f>
        <v>4</v>
      </c>
      <c r="I11" s="22" t="str">
        <f aca="false">IF(A11="","",IF(H11=0,"Gap: not taught anywhere",IF(F11=0,"Gap: no community college offering",IF(F11&gt;1,"Check: multiple CC courses",IF(G11="No","Covered: no high school on-ramp","Covered")))))</f>
        <v>Covered</v>
      </c>
      <c r="J11" s="21"/>
      <c r="K11" s="21"/>
      <c r="L11" s="21"/>
      <c r="M11" s="22" t="str">
        <f aca="false">IF(LEFT(I11,5)&lt;&gt;"Check","",IF(COUNTIF(J11:L11,"Yes")+COUNTIF(J11:L11,"No")&lt;3,"Answer the 3 questions",IF(COUNTIF(J11:L11,"Yes")=3,"Duplication: coordinate","Healthy on-ramp: keep")))</f>
        <v/>
      </c>
      <c r="N11" s="9"/>
      <c r="O11" s="9"/>
    </row>
    <row r="12" customFormat="false" ht="23.85" hidden="false" customHeight="false" outlineLevel="0" collapsed="false">
      <c r="A12" s="22" t="str">
        <f aca="false">IF('2 Competency Spine'!A12="","",'2 Competency Spine'!A12)</f>
        <v>K-01</v>
      </c>
      <c r="B12" s="11" t="str">
        <f aca="false">IF('2 Competency Spine'!C12="","",'2 Competency Spine'!C12)</f>
        <v>Interpret basic electrical &amp; circuit concepts &amp; diagrams</v>
      </c>
      <c r="C12" s="11" t="str">
        <f aca="false">IF('2 Competency Spine'!B12="","",'2 Competency Spine'!B12)</f>
        <v>Cluster</v>
      </c>
      <c r="D12" s="11" t="str">
        <f aca="false">IF('2 Competency Spine'!E12="","",'2 Competency Spine'!E12)</f>
        <v>All pathways</v>
      </c>
      <c r="E12" s="11" t="str">
        <f aca="false">IF('2 Competency Spine'!O12="","",'2 Competency Spine'!O12)</f>
        <v>AIT132</v>
      </c>
      <c r="F12" s="19" t="n">
        <f aca="false">IF(TRIM(E12)="",0,LEN(E12)-LEN(SUBSTITUTE(E12,"/",""))+1)</f>
        <v>1</v>
      </c>
      <c r="G12" s="19" t="str">
        <f aca="false">IF(A12="","",IF(OR('2 Competency Spine'!M12&lt;&gt;"",'2 Competency Spine'!N12&lt;&gt;""),"Yes","No"))</f>
        <v>Yes</v>
      </c>
      <c r="H12" s="19" t="n">
        <f aca="false">'2 Competency Spine'!S12</f>
        <v>4</v>
      </c>
      <c r="I12" s="22" t="str">
        <f aca="false">IF(A12="","",IF(H12=0,"Gap: not taught anywhere",IF(F12=0,"Gap: no community college offering",IF(F12&gt;1,"Check: multiple CC courses",IF(G12="No","Covered: no high school on-ramp","Covered")))))</f>
        <v>Covered</v>
      </c>
      <c r="J12" s="21"/>
      <c r="K12" s="21"/>
      <c r="L12" s="21"/>
      <c r="M12" s="22" t="str">
        <f aca="false">IF(LEFT(I12,5)&lt;&gt;"Check","",IF(COUNTIF(J12:L12,"Yes")+COUNTIF(J12:L12,"No")&lt;3,"Answer the 3 questions",IF(COUNTIF(J12:L12,"Yes")=3,"Duplication: coordinate","Healthy on-ramp: keep")))</f>
        <v/>
      </c>
      <c r="N12" s="9"/>
      <c r="O12" s="9"/>
    </row>
    <row r="13" customFormat="false" ht="23.85" hidden="false" customHeight="false" outlineLevel="0" collapsed="false">
      <c r="A13" s="22" t="str">
        <f aca="false">IF('2 Competency Spine'!A13="","",'2 Competency Spine'!A13)</f>
        <v>K-02</v>
      </c>
      <c r="B13" s="11" t="str">
        <f aca="false">IF('2 Competency Spine'!C13="","",'2 Competency Spine'!C13)</f>
        <v>Use AI and ML tools to optimize manufacturing</v>
      </c>
      <c r="C13" s="11" t="str">
        <f aca="false">IF('2 Competency Spine'!B13="","",'2 Competency Spine'!B13)</f>
        <v>Cluster</v>
      </c>
      <c r="D13" s="11" t="str">
        <f aca="false">IF('2 Competency Spine'!E13="","",'2 Competency Spine'!E13)</f>
        <v>All pathways</v>
      </c>
      <c r="E13" s="11" t="str">
        <f aca="false">IF('2 Competency Spine'!O13="","",'2 Competency Spine'!O13)</f>
        <v>AIM230</v>
      </c>
      <c r="F13" s="19" t="n">
        <f aca="false">IF(TRIM(E13)="",0,LEN(E13)-LEN(SUBSTITUTE(E13,"/",""))+1)</f>
        <v>1</v>
      </c>
      <c r="G13" s="19" t="str">
        <f aca="false">IF(A13="","",IF(OR('2 Competency Spine'!M13&lt;&gt;"",'2 Competency Spine'!N13&lt;&gt;""),"Yes","No"))</f>
        <v>Yes</v>
      </c>
      <c r="H13" s="19" t="n">
        <f aca="false">'2 Competency Spine'!S13</f>
        <v>4</v>
      </c>
      <c r="I13" s="22" t="str">
        <f aca="false">IF(A13="","",IF(H13=0,"Gap: not taught anywhere",IF(F13=0,"Gap: no community college offering",IF(F13&gt;1,"Check: multiple CC courses",IF(G13="No","Covered: no high school on-ramp","Covered")))))</f>
        <v>Covered</v>
      </c>
      <c r="J13" s="21"/>
      <c r="K13" s="21"/>
      <c r="L13" s="21"/>
      <c r="M13" s="22" t="str">
        <f aca="false">IF(LEFT(I13,5)&lt;&gt;"Check","",IF(COUNTIF(J13:L13,"Yes")+COUNTIF(J13:L13,"No")&lt;3,"Answer the 3 questions",IF(COUNTIF(J13:L13,"Yes")=3,"Duplication: coordinate","Healthy on-ramp: keep")))</f>
        <v/>
      </c>
      <c r="N13" s="9"/>
      <c r="O13" s="9"/>
    </row>
    <row r="14" customFormat="false" ht="23.85" hidden="false" customHeight="false" outlineLevel="0" collapsed="false">
      <c r="A14" s="22" t="str">
        <f aca="false">IF('2 Competency Spine'!A14="","",'2 Competency Spine'!A14)</f>
        <v>K-03</v>
      </c>
      <c r="B14" s="11" t="str">
        <f aca="false">IF('2 Competency Spine'!C14="","",'2 Competency Spine'!C14)</f>
        <v>Use SPC charts and data tools to monitor processes</v>
      </c>
      <c r="C14" s="11" t="str">
        <f aca="false">IF('2 Competency Spine'!B14="","",'2 Competency Spine'!B14)</f>
        <v>Cluster</v>
      </c>
      <c r="D14" s="11" t="str">
        <f aca="false">IF('2 Competency Spine'!E14="","",'2 Competency Spine'!E14)</f>
        <v>All pathways</v>
      </c>
      <c r="E14" s="11" t="str">
        <f aca="false">IF('2 Competency Spine'!O14="","",'2 Competency Spine'!O14)</f>
        <v>MNT108</v>
      </c>
      <c r="F14" s="19" t="n">
        <f aca="false">IF(TRIM(E14)="",0,LEN(E14)-LEN(SUBSTITUTE(E14,"/",""))+1)</f>
        <v>1</v>
      </c>
      <c r="G14" s="19" t="str">
        <f aca="false">IF(A14="","",IF(OR('2 Competency Spine'!M14&lt;&gt;"",'2 Competency Spine'!N14&lt;&gt;""),"Yes","No"))</f>
        <v>Yes</v>
      </c>
      <c r="H14" s="19" t="n">
        <f aca="false">'2 Competency Spine'!S14</f>
        <v>4</v>
      </c>
      <c r="I14" s="22" t="str">
        <f aca="false">IF(A14="","",IF(H14=0,"Gap: not taught anywhere",IF(F14=0,"Gap: no community college offering",IF(F14&gt;1,"Check: multiple CC courses",IF(G14="No","Covered: no high school on-ramp","Covered")))))</f>
        <v>Covered</v>
      </c>
      <c r="J14" s="21"/>
      <c r="K14" s="21"/>
      <c r="L14" s="21"/>
      <c r="M14" s="22" t="str">
        <f aca="false">IF(LEFT(I14,5)&lt;&gt;"Check","",IF(COUNTIF(J14:L14,"Yes")+COUNTIF(J14:L14,"No")&lt;3,"Answer the 3 questions",IF(COUNTIF(J14:L14,"Yes")=3,"Duplication: coordinate","Healthy on-ramp: keep")))</f>
        <v/>
      </c>
      <c r="N14" s="9"/>
      <c r="O14" s="9"/>
    </row>
    <row r="15" customFormat="false" ht="23.85" hidden="false" customHeight="false" outlineLevel="0" collapsed="false">
      <c r="A15" s="22" t="str">
        <f aca="false">IF('2 Competency Spine'!A15="","",'2 Competency Spine'!A15)</f>
        <v>K-04</v>
      </c>
      <c r="B15" s="11" t="str">
        <f aca="false">IF('2 Competency Spine'!C15="","",'2 Competency Spine'!C15)</f>
        <v>Recognize &amp; respond to physical security &amp; cybersecurity risks</v>
      </c>
      <c r="C15" s="11" t="str">
        <f aca="false">IF('2 Competency Spine'!B15="","",'2 Competency Spine'!B15)</f>
        <v>Cluster</v>
      </c>
      <c r="D15" s="11" t="str">
        <f aca="false">IF('2 Competency Spine'!E15="","",'2 Competency Spine'!E15)</f>
        <v>All pathways</v>
      </c>
      <c r="E15" s="11" t="str">
        <f aca="false">IF('2 Competency Spine'!O15="","",'2 Competency Spine'!O15)</f>
        <v>CIS270 / ITS110</v>
      </c>
      <c r="F15" s="19" t="n">
        <f aca="false">IF(TRIM(E15)="",0,LEN(E15)-LEN(SUBSTITUTE(E15,"/",""))+1)</f>
        <v>2</v>
      </c>
      <c r="G15" s="19" t="str">
        <f aca="false">IF(A15="","",IF(OR('2 Competency Spine'!M15&lt;&gt;"",'2 Competency Spine'!N15&lt;&gt;""),"Yes","No"))</f>
        <v>Yes</v>
      </c>
      <c r="H15" s="19" t="n">
        <f aca="false">'2 Competency Spine'!S15</f>
        <v>4</v>
      </c>
      <c r="I15" s="22" t="str">
        <f aca="false">IF(A15="","",IF(H15=0,"Gap: not taught anywhere",IF(F15=0,"Gap: no community college offering",IF(F15&gt;1,"Check: multiple CC courses",IF(G15="No","Covered: no high school on-ramp","Covered")))))</f>
        <v>Check: multiple CC courses</v>
      </c>
      <c r="J15" s="21"/>
      <c r="K15" s="21"/>
      <c r="L15" s="21"/>
      <c r="M15" s="22" t="str">
        <f aca="false">IF(LEFT(I15,5)&lt;&gt;"Check","",IF(COUNTIF(J15:L15,"Yes")+COUNTIF(J15:L15,"No")&lt;3,"Answer the 3 questions",IF(COUNTIF(J15:L15,"Yes")=3,"Duplication: coordinate","Healthy on-ramp: keep")))</f>
        <v>Answer the 3 questions</v>
      </c>
      <c r="N15" s="9"/>
      <c r="O15" s="9"/>
    </row>
    <row r="16" customFormat="false" ht="23.85" hidden="false" customHeight="false" outlineLevel="0" collapsed="false">
      <c r="A16" s="22" t="str">
        <f aca="false">IF('2 Competency Spine'!A16="","",'2 Competency Spine'!A16)</f>
        <v>K-05</v>
      </c>
      <c r="B16" s="11" t="str">
        <f aca="false">IF('2 Competency Spine'!C16="","",'2 Competency Spine'!C16)</f>
        <v>Follow OSHA, COHE, &amp; cleanroom safety protocols</v>
      </c>
      <c r="C16" s="11" t="str">
        <f aca="false">IF('2 Competency Spine'!B16="","",'2 Competency Spine'!B16)</f>
        <v>Cluster</v>
      </c>
      <c r="D16" s="11" t="str">
        <f aca="false">IF('2 Competency Spine'!E16="","",'2 Competency Spine'!E16)</f>
        <v>All pathways</v>
      </c>
      <c r="E16" s="11" t="str">
        <f aca="false">IF('2 Competency Spine'!O16="","",'2 Competency Spine'!O16)</f>
        <v>MNT201</v>
      </c>
      <c r="F16" s="19" t="n">
        <f aca="false">IF(TRIM(E16)="",0,LEN(E16)-LEN(SUBSTITUTE(E16,"/",""))+1)</f>
        <v>1</v>
      </c>
      <c r="G16" s="19" t="str">
        <f aca="false">IF(A16="","",IF(OR('2 Competency Spine'!M16&lt;&gt;"",'2 Competency Spine'!N16&lt;&gt;""),"Yes","No"))</f>
        <v>Yes</v>
      </c>
      <c r="H16" s="19" t="n">
        <f aca="false">'2 Competency Spine'!S16</f>
        <v>4</v>
      </c>
      <c r="I16" s="22" t="str">
        <f aca="false">IF(A16="","",IF(H16=0,"Gap: not taught anywhere",IF(F16=0,"Gap: no community college offering",IF(F16&gt;1,"Check: multiple CC courses",IF(G16="No","Covered: no high school on-ramp","Covered")))))</f>
        <v>Covered</v>
      </c>
      <c r="J16" s="21"/>
      <c r="K16" s="21"/>
      <c r="L16" s="21"/>
      <c r="M16" s="22" t="str">
        <f aca="false">IF(LEFT(I16,5)&lt;&gt;"Check","",IF(COUNTIF(J16:L16,"Yes")+COUNTIF(J16:L16,"No")&lt;3,"Answer the 3 questions",IF(COUNTIF(J16:L16,"Yes")=3,"Duplication: coordinate","Healthy on-ramp: keep")))</f>
        <v/>
      </c>
      <c r="N16" s="9"/>
      <c r="O16" s="9"/>
    </row>
    <row r="17" customFormat="false" ht="23.85" hidden="false" customHeight="false" outlineLevel="0" collapsed="false">
      <c r="A17" s="22" t="str">
        <f aca="false">IF('2 Competency Spine'!A17="","",'2 Competency Spine'!A17)</f>
        <v>K-06</v>
      </c>
      <c r="B17" s="11" t="str">
        <f aca="false">IF('2 Competency Spine'!C17="","",'2 Competency Spine'!C17)</f>
        <v>Diagnose issues in semiconductor tools &amp; systems</v>
      </c>
      <c r="C17" s="11" t="str">
        <f aca="false">IF('2 Competency Spine'!B17="","",'2 Competency Spine'!B17)</f>
        <v>Cluster</v>
      </c>
      <c r="D17" s="11" t="str">
        <f aca="false">IF('2 Competency Spine'!E17="","",'2 Competency Spine'!E17)</f>
        <v>All pathways</v>
      </c>
      <c r="E17" s="11" t="str">
        <f aca="false">IF('2 Competency Spine'!O17="","",'2 Competency Spine'!O17)</f>
        <v>AIT132</v>
      </c>
      <c r="F17" s="19" t="n">
        <f aca="false">IF(TRIM(E17)="",0,LEN(E17)-LEN(SUBSTITUTE(E17,"/",""))+1)</f>
        <v>1</v>
      </c>
      <c r="G17" s="19" t="str">
        <f aca="false">IF(A17="","",IF(OR('2 Competency Spine'!M17&lt;&gt;"",'2 Competency Spine'!N17&lt;&gt;""),"Yes","No"))</f>
        <v>Yes</v>
      </c>
      <c r="H17" s="19" t="n">
        <f aca="false">'2 Competency Spine'!S17</f>
        <v>4</v>
      </c>
      <c r="I17" s="22" t="str">
        <f aca="false">IF(A17="","",IF(H17=0,"Gap: not taught anywhere",IF(F17=0,"Gap: no community college offering",IF(F17&gt;1,"Check: multiple CC courses",IF(G17="No","Covered: no high school on-ramp","Covered")))))</f>
        <v>Covered</v>
      </c>
      <c r="J17" s="21"/>
      <c r="K17" s="21"/>
      <c r="L17" s="21"/>
      <c r="M17" s="22" t="str">
        <f aca="false">IF(LEFT(I17,5)&lt;&gt;"Check","",IF(COUNTIF(J17:L17,"Yes")+COUNTIF(J17:L17,"No")&lt;3,"Answer the 3 questions",IF(COUNTIF(J17:L17,"Yes")=3,"Duplication: coordinate","Healthy on-ramp: keep")))</f>
        <v/>
      </c>
      <c r="N17" s="9"/>
      <c r="O17" s="9"/>
    </row>
    <row r="18" customFormat="false" ht="15" hidden="false" customHeight="false" outlineLevel="0" collapsed="false">
      <c r="A18" s="22" t="str">
        <f aca="false">IF('2 Competency Spine'!A18="","",'2 Competency Spine'!A18)</f>
        <v>K-07</v>
      </c>
      <c r="B18" s="11" t="str">
        <f aca="false">IF('2 Competency Spine'!C18="","",'2 Competency Spine'!C18)</f>
        <v>Operate automated tools &amp; robotics</v>
      </c>
      <c r="C18" s="11" t="str">
        <f aca="false">IF('2 Competency Spine'!B18="","",'2 Competency Spine'!B18)</f>
        <v>Cluster</v>
      </c>
      <c r="D18" s="11" t="str">
        <f aca="false">IF('2 Competency Spine'!E18="","",'2 Competency Spine'!E18)</f>
        <v>All pathways</v>
      </c>
      <c r="E18" s="11" t="str">
        <f aca="false">IF('2 Competency Spine'!O18="","",'2 Competency Spine'!O18)</f>
        <v>AIT270</v>
      </c>
      <c r="F18" s="19" t="n">
        <f aca="false">IF(TRIM(E18)="",0,LEN(E18)-LEN(SUBSTITUTE(E18,"/",""))+1)</f>
        <v>1</v>
      </c>
      <c r="G18" s="19" t="str">
        <f aca="false">IF(A18="","",IF(OR('2 Competency Spine'!M18&lt;&gt;"",'2 Competency Spine'!N18&lt;&gt;""),"Yes","No"))</f>
        <v>Yes</v>
      </c>
      <c r="H18" s="19" t="n">
        <f aca="false">'2 Competency Spine'!S18</f>
        <v>4</v>
      </c>
      <c r="I18" s="22" t="str">
        <f aca="false">IF(A18="","",IF(H18=0,"Gap: not taught anywhere",IF(F18=0,"Gap: no community college offering",IF(F18&gt;1,"Check: multiple CC courses",IF(G18="No","Covered: no high school on-ramp","Covered")))))</f>
        <v>Covered</v>
      </c>
      <c r="J18" s="21"/>
      <c r="K18" s="21"/>
      <c r="L18" s="21"/>
      <c r="M18" s="22" t="str">
        <f aca="false">IF(LEFT(I18,5)&lt;&gt;"Check","",IF(COUNTIF(J18:L18,"Yes")+COUNTIF(J18:L18,"No")&lt;3,"Answer the 3 questions",IF(COUNTIF(J18:L18,"Yes")=3,"Duplication: coordinate","Healthy on-ramp: keep")))</f>
        <v/>
      </c>
      <c r="N18" s="9"/>
      <c r="O18" s="9"/>
    </row>
    <row r="19" customFormat="false" ht="15" hidden="false" customHeight="false" outlineLevel="0" collapsed="false">
      <c r="A19" s="22" t="str">
        <f aca="false">IF('2 Competency Spine'!A19="","",'2 Competency Spine'!A19)</f>
        <v>K-08</v>
      </c>
      <c r="B19" s="11" t="str">
        <f aca="false">IF('2 Competency Spine'!C19="","",'2 Competency Spine'!C19)</f>
        <v>Apply QA/QC procedures in production</v>
      </c>
      <c r="C19" s="11" t="str">
        <f aca="false">IF('2 Competency Spine'!B19="","",'2 Competency Spine'!B19)</f>
        <v>Cluster</v>
      </c>
      <c r="D19" s="11" t="str">
        <f aca="false">IF('2 Competency Spine'!E19="","",'2 Competency Spine'!E19)</f>
        <v>All pathways</v>
      </c>
      <c r="E19" s="11" t="str">
        <f aca="false">IF('2 Competency Spine'!O19="","",'2 Competency Spine'!O19)</f>
        <v>MNT235</v>
      </c>
      <c r="F19" s="19" t="n">
        <f aca="false">IF(TRIM(E19)="",0,LEN(E19)-LEN(SUBSTITUTE(E19,"/",""))+1)</f>
        <v>1</v>
      </c>
      <c r="G19" s="19" t="str">
        <f aca="false">IF(A19="","",IF(OR('2 Competency Spine'!M19&lt;&gt;"",'2 Competency Spine'!N19&lt;&gt;""),"Yes","No"))</f>
        <v>Yes</v>
      </c>
      <c r="H19" s="19" t="n">
        <f aca="false">'2 Competency Spine'!S19</f>
        <v>4</v>
      </c>
      <c r="I19" s="22" t="str">
        <f aca="false">IF(A19="","",IF(H19=0,"Gap: not taught anywhere",IF(F19=0,"Gap: no community college offering",IF(F19&gt;1,"Check: multiple CC courses",IF(G19="No","Covered: no high school on-ramp","Covered")))))</f>
        <v>Covered</v>
      </c>
      <c r="J19" s="21"/>
      <c r="K19" s="21"/>
      <c r="L19" s="21"/>
      <c r="M19" s="22" t="str">
        <f aca="false">IF(LEFT(I19,5)&lt;&gt;"Check","",IF(COUNTIF(J19:L19,"Yes")+COUNTIF(J19:L19,"No")&lt;3,"Answer the 3 questions",IF(COUNTIF(J19:L19,"Yes")=3,"Duplication: coordinate","Healthy on-ramp: keep")))</f>
        <v/>
      </c>
      <c r="N19" s="9"/>
      <c r="O19" s="9"/>
    </row>
    <row r="20" customFormat="false" ht="23.85" hidden="false" customHeight="false" outlineLevel="0" collapsed="false">
      <c r="A20" s="22" t="str">
        <f aca="false">IF('2 Competency Spine'!A20="","",'2 Competency Spine'!A20)</f>
        <v>K-09</v>
      </c>
      <c r="B20" s="11" t="str">
        <f aca="false">IF('2 Competency Spine'!C20="","",'2 Competency Spine'!C20)</f>
        <v>Monitor yield &amp; identify factors affecting output</v>
      </c>
      <c r="C20" s="11" t="str">
        <f aca="false">IF('2 Competency Spine'!B20="","",'2 Competency Spine'!B20)</f>
        <v>Cluster</v>
      </c>
      <c r="D20" s="11" t="str">
        <f aca="false">IF('2 Competency Spine'!E20="","",'2 Competency Spine'!E20)</f>
        <v>All pathways</v>
      </c>
      <c r="E20" s="11" t="str">
        <f aca="false">IF('2 Competency Spine'!O20="","",'2 Competency Spine'!O20)</f>
        <v>MNT108</v>
      </c>
      <c r="F20" s="19" t="n">
        <f aca="false">IF(TRIM(E20)="",0,LEN(E20)-LEN(SUBSTITUTE(E20,"/",""))+1)</f>
        <v>1</v>
      </c>
      <c r="G20" s="19" t="str">
        <f aca="false">IF(A20="","",IF(OR('2 Competency Spine'!M20&lt;&gt;"",'2 Competency Spine'!N20&lt;&gt;""),"Yes","No"))</f>
        <v>Yes</v>
      </c>
      <c r="H20" s="19" t="n">
        <f aca="false">'2 Competency Spine'!S20</f>
        <v>4</v>
      </c>
      <c r="I20" s="22" t="str">
        <f aca="false">IF(A20="","",IF(H20=0,"Gap: not taught anywhere",IF(F20=0,"Gap: no community college offering",IF(F20&gt;1,"Check: multiple CC courses",IF(G20="No","Covered: no high school on-ramp","Covered")))))</f>
        <v>Covered</v>
      </c>
      <c r="J20" s="21"/>
      <c r="K20" s="21"/>
      <c r="L20" s="21"/>
      <c r="M20" s="22" t="str">
        <f aca="false">IF(LEFT(I20,5)&lt;&gt;"Check","",IF(COUNTIF(J20:L20,"Yes")+COUNTIF(J20:L20,"No")&lt;3,"Answer the 3 questions",IF(COUNTIF(J20:L20,"Yes")=3,"Duplication: coordinate","Healthy on-ramp: keep")))</f>
        <v/>
      </c>
      <c r="N20" s="9"/>
      <c r="O20" s="9"/>
    </row>
    <row r="21" customFormat="false" ht="15" hidden="false" customHeight="false" outlineLevel="0" collapsed="false">
      <c r="A21" s="22" t="str">
        <f aca="false">IF('2 Competency Spine'!A21="","",'2 Competency Spine'!A21)</f>
        <v>K-10</v>
      </c>
      <c r="B21" s="11" t="str">
        <f aca="false">IF('2 Competency Spine'!C21="","",'2 Competency Spine'!C21)</f>
        <v>Monitor Basic Process Parameters</v>
      </c>
      <c r="C21" s="11" t="str">
        <f aca="false">IF('2 Competency Spine'!B21="","",'2 Competency Spine'!B21)</f>
        <v>Cluster</v>
      </c>
      <c r="D21" s="11" t="str">
        <f aca="false">IF('2 Competency Spine'!E21="","",'2 Competency Spine'!E21)</f>
        <v>All pathways</v>
      </c>
      <c r="E21" s="11" t="str">
        <f aca="false">IF('2 Competency Spine'!O21="","",'2 Competency Spine'!O21)</f>
        <v>MNT115</v>
      </c>
      <c r="F21" s="19" t="n">
        <f aca="false">IF(TRIM(E21)="",0,LEN(E21)-LEN(SUBSTITUTE(E21,"/",""))+1)</f>
        <v>1</v>
      </c>
      <c r="G21" s="19" t="str">
        <f aca="false">IF(A21="","",IF(OR('2 Competency Spine'!M21&lt;&gt;"",'2 Competency Spine'!N21&lt;&gt;""),"Yes","No"))</f>
        <v>Yes</v>
      </c>
      <c r="H21" s="19" t="n">
        <f aca="false">'2 Competency Spine'!S21</f>
        <v>4</v>
      </c>
      <c r="I21" s="22" t="str">
        <f aca="false">IF(A21="","",IF(H21=0,"Gap: not taught anywhere",IF(F21=0,"Gap: no community college offering",IF(F21&gt;1,"Check: multiple CC courses",IF(G21="No","Covered: no high school on-ramp","Covered")))))</f>
        <v>Covered</v>
      </c>
      <c r="J21" s="21"/>
      <c r="K21" s="21"/>
      <c r="L21" s="21"/>
      <c r="M21" s="22" t="str">
        <f aca="false">IF(LEFT(I21,5)&lt;&gt;"Check","",IF(COUNTIF(J21:L21,"Yes")+COUNTIF(J21:L21,"No")&lt;3,"Answer the 3 questions",IF(COUNTIF(J21:L21,"Yes")=3,"Duplication: coordinate","Healthy on-ramp: keep")))</f>
        <v/>
      </c>
      <c r="N21" s="9"/>
      <c r="O21" s="9"/>
    </row>
    <row r="22" customFormat="false" ht="23.85" hidden="false" customHeight="false" outlineLevel="0" collapsed="false">
      <c r="A22" s="22" t="str">
        <f aca="false">IF('2 Competency Spine'!A22="","",'2 Competency Spine'!A22)</f>
        <v>K-11</v>
      </c>
      <c r="B22" s="11" t="str">
        <f aca="false">IF('2 Competency Spine'!C22="","",'2 Competency Spine'!C22)</f>
        <v>Maintain cleanroom gowning &amp; housekeeping</v>
      </c>
      <c r="C22" s="11" t="str">
        <f aca="false">IF('2 Competency Spine'!B22="","",'2 Competency Spine'!B22)</f>
        <v>Cluster</v>
      </c>
      <c r="D22" s="11" t="str">
        <f aca="false">IF('2 Competency Spine'!E22="","",'2 Competency Spine'!E22)</f>
        <v>All pathways</v>
      </c>
      <c r="E22" s="11" t="str">
        <f aca="false">IF('2 Competency Spine'!O22="","",'2 Competency Spine'!O22)</f>
        <v>MNT201</v>
      </c>
      <c r="F22" s="19" t="n">
        <f aca="false">IF(TRIM(E22)="",0,LEN(E22)-LEN(SUBSTITUTE(E22,"/",""))+1)</f>
        <v>1</v>
      </c>
      <c r="G22" s="19" t="str">
        <f aca="false">IF(A22="","",IF(OR('2 Competency Spine'!M22&lt;&gt;"",'2 Competency Spine'!N22&lt;&gt;""),"Yes","No"))</f>
        <v>Yes</v>
      </c>
      <c r="H22" s="19" t="n">
        <f aca="false">'2 Competency Spine'!S22</f>
        <v>4</v>
      </c>
      <c r="I22" s="22" t="str">
        <f aca="false">IF(A22="","",IF(H22=0,"Gap: not taught anywhere",IF(F22=0,"Gap: no community college offering",IF(F22&gt;1,"Check: multiple CC courses",IF(G22="No","Covered: no high school on-ramp","Covered")))))</f>
        <v>Covered</v>
      </c>
      <c r="J22" s="21"/>
      <c r="K22" s="21"/>
      <c r="L22" s="21"/>
      <c r="M22" s="22" t="str">
        <f aca="false">IF(LEFT(I22,5)&lt;&gt;"Check","",IF(COUNTIF(J22:L22,"Yes")+COUNTIF(J22:L22,"No")&lt;3,"Answer the 3 questions",IF(COUNTIF(J22:L22,"Yes")=3,"Duplication: coordinate","Healthy on-ramp: keep")))</f>
        <v/>
      </c>
      <c r="N22" s="9"/>
      <c r="O22" s="9"/>
    </row>
    <row r="23" customFormat="false" ht="23.85" hidden="false" customHeight="false" outlineLevel="0" collapsed="false">
      <c r="A23" s="22" t="str">
        <f aca="false">IF('2 Competency Spine'!A23="","",'2 Competency Spine'!A23)</f>
        <v>AUT-01</v>
      </c>
      <c r="B23" s="11" t="str">
        <f aca="false">IF('2 Competency Spine'!C23="","",'2 Competency Spine'!C23)</f>
        <v>Apply control systems concepts</v>
      </c>
      <c r="C23" s="11" t="str">
        <f aca="false">IF('2 Competency Spine'!B23="","",'2 Competency Spine'!B23)</f>
        <v>Pathway</v>
      </c>
      <c r="D23" s="11" t="str">
        <f aca="false">IF('2 Competency Spine'!E23="","",'2 Competency Spine'!E23)</f>
        <v>Automation, Controls &amp; Sensor Technologies</v>
      </c>
      <c r="E23" s="11" t="str">
        <f aca="false">IF('2 Competency Spine'!O23="","",'2 Competency Spine'!O23)</f>
        <v>AIT215</v>
      </c>
      <c r="F23" s="19" t="n">
        <f aca="false">IF(TRIM(E23)="",0,LEN(E23)-LEN(SUBSTITUTE(E23,"/",""))+1)</f>
        <v>1</v>
      </c>
      <c r="G23" s="19" t="str">
        <f aca="false">IF(A23="","",IF(OR('2 Competency Spine'!M23&lt;&gt;"",'2 Competency Spine'!N23&lt;&gt;""),"Yes","No"))</f>
        <v>Yes</v>
      </c>
      <c r="H23" s="19" t="n">
        <f aca="false">'2 Competency Spine'!S23</f>
        <v>4</v>
      </c>
      <c r="I23" s="22" t="str">
        <f aca="false">IF(A23="","",IF(H23=0,"Gap: not taught anywhere",IF(F23=0,"Gap: no community college offering",IF(F23&gt;1,"Check: multiple CC courses",IF(G23="No","Covered: no high school on-ramp","Covered")))))</f>
        <v>Covered</v>
      </c>
      <c r="J23" s="21"/>
      <c r="K23" s="21"/>
      <c r="L23" s="21"/>
      <c r="M23" s="22" t="str">
        <f aca="false">IF(LEFT(I23,5)&lt;&gt;"Check","",IF(COUNTIF(J23:L23,"Yes")+COUNTIF(J23:L23,"No")&lt;3,"Answer the 3 questions",IF(COUNTIF(J23:L23,"Yes")=3,"Duplication: coordinate","Healthy on-ramp: keep")))</f>
        <v/>
      </c>
      <c r="N23" s="9"/>
      <c r="O23" s="9"/>
    </row>
    <row r="24" customFormat="false" ht="23.85" hidden="false" customHeight="false" outlineLevel="0" collapsed="false">
      <c r="A24" s="22" t="str">
        <f aca="false">IF('2 Competency Spine'!A24="","",'2 Competency Spine'!A24)</f>
        <v>AUT-02</v>
      </c>
      <c r="B24" s="11" t="str">
        <f aca="false">IF('2 Competency Spine'!C24="","",'2 Competency Spine'!C24)</f>
        <v>Interpret PLC &amp; sensor logic</v>
      </c>
      <c r="C24" s="11" t="str">
        <f aca="false">IF('2 Competency Spine'!B24="","",'2 Competency Spine'!B24)</f>
        <v>Pathway</v>
      </c>
      <c r="D24" s="11" t="str">
        <f aca="false">IF('2 Competency Spine'!E24="","",'2 Competency Spine'!E24)</f>
        <v>Automation, Controls &amp; Sensor Technologies</v>
      </c>
      <c r="E24" s="11" t="str">
        <f aca="false">IF('2 Competency Spine'!O24="","",'2 Competency Spine'!O24)</f>
        <v>AIT210</v>
      </c>
      <c r="F24" s="19" t="n">
        <f aca="false">IF(TRIM(E24)="",0,LEN(E24)-LEN(SUBSTITUTE(E24,"/",""))+1)</f>
        <v>1</v>
      </c>
      <c r="G24" s="19" t="str">
        <f aca="false">IF(A24="","",IF(OR('2 Competency Spine'!M24&lt;&gt;"",'2 Competency Spine'!N24&lt;&gt;""),"Yes","No"))</f>
        <v>Yes</v>
      </c>
      <c r="H24" s="19" t="n">
        <f aca="false">'2 Competency Spine'!S24</f>
        <v>4</v>
      </c>
      <c r="I24" s="22" t="str">
        <f aca="false">IF(A24="","",IF(H24=0,"Gap: not taught anywhere",IF(F24=0,"Gap: no community college offering",IF(F24&gt;1,"Check: multiple CC courses",IF(G24="No","Covered: no high school on-ramp","Covered")))))</f>
        <v>Covered</v>
      </c>
      <c r="J24" s="21"/>
      <c r="K24" s="21"/>
      <c r="L24" s="21"/>
      <c r="M24" s="22" t="str">
        <f aca="false">IF(LEFT(I24,5)&lt;&gt;"Check","",IF(COUNTIF(J24:L24,"Yes")+COUNTIF(J24:L24,"No")&lt;3,"Answer the 3 questions",IF(COUNTIF(J24:L24,"Yes")=3,"Duplication: coordinate","Healthy on-ramp: keep")))</f>
        <v/>
      </c>
      <c r="N24" s="9"/>
      <c r="O24" s="9"/>
    </row>
    <row r="25" customFormat="false" ht="23.85" hidden="false" customHeight="false" outlineLevel="0" collapsed="false">
      <c r="A25" s="22" t="str">
        <f aca="false">IF('2 Competency Spine'!A25="","",'2 Competency Spine'!A25)</f>
        <v>AUT-03</v>
      </c>
      <c r="B25" s="11" t="str">
        <f aca="false">IF('2 Competency Spine'!C25="","",'2 Competency Spine'!C25)</f>
        <v>Apply basic scripting for automation tasks</v>
      </c>
      <c r="C25" s="11" t="str">
        <f aca="false">IF('2 Competency Spine'!B25="","",'2 Competency Spine'!B25)</f>
        <v>Pathway</v>
      </c>
      <c r="D25" s="11" t="str">
        <f aca="false">IF('2 Competency Spine'!E25="","",'2 Competency Spine'!E25)</f>
        <v>Automation, Controls &amp; Sensor Technologies</v>
      </c>
      <c r="E25" s="11" t="str">
        <f aca="false">IF('2 Competency Spine'!O25="","",'2 Competency Spine'!O25)</f>
        <v>CIS156</v>
      </c>
      <c r="F25" s="19" t="n">
        <f aca="false">IF(TRIM(E25)="",0,LEN(E25)-LEN(SUBSTITUTE(E25,"/",""))+1)</f>
        <v>1</v>
      </c>
      <c r="G25" s="19" t="str">
        <f aca="false">IF(A25="","",IF(OR('2 Competency Spine'!M25&lt;&gt;"",'2 Competency Spine'!N25&lt;&gt;""),"Yes","No"))</f>
        <v>Yes</v>
      </c>
      <c r="H25" s="19" t="n">
        <f aca="false">'2 Competency Spine'!S25</f>
        <v>4</v>
      </c>
      <c r="I25" s="22" t="str">
        <f aca="false">IF(A25="","",IF(H25=0,"Gap: not taught anywhere",IF(F25=0,"Gap: no community college offering",IF(F25&gt;1,"Check: multiple CC courses",IF(G25="No","Covered: no high school on-ramp","Covered")))))</f>
        <v>Covered</v>
      </c>
      <c r="J25" s="21"/>
      <c r="K25" s="21"/>
      <c r="L25" s="21"/>
      <c r="M25" s="22" t="str">
        <f aca="false">IF(LEFT(I25,5)&lt;&gt;"Check","",IF(COUNTIF(J25:L25,"Yes")+COUNTIF(J25:L25,"No")&lt;3,"Answer the 3 questions",IF(COUNTIF(J25:L25,"Yes")=3,"Duplication: coordinate","Healthy on-ramp: keep")))</f>
        <v/>
      </c>
      <c r="N25" s="9"/>
      <c r="O25" s="9"/>
    </row>
    <row r="26" customFormat="false" ht="23.85" hidden="false" customHeight="false" outlineLevel="0" collapsed="false">
      <c r="A26" s="22" t="str">
        <f aca="false">IF('2 Competency Spine'!A26="","",'2 Competency Spine'!A26)</f>
        <v>AUT-04</v>
      </c>
      <c r="B26" s="11" t="str">
        <f aca="false">IF('2 Competency Spine'!C26="","",'2 Competency Spine'!C26)</f>
        <v>Validate failsafe shutdown behaviors</v>
      </c>
      <c r="C26" s="11" t="str">
        <f aca="false">IF('2 Competency Spine'!B26="","",'2 Competency Spine'!B26)</f>
        <v>Pathway</v>
      </c>
      <c r="D26" s="11" t="str">
        <f aca="false">IF('2 Competency Spine'!E26="","",'2 Competency Spine'!E26)</f>
        <v>Automation, Controls &amp; Sensor Technologies</v>
      </c>
      <c r="E26" s="11" t="str">
        <f aca="false">IF('2 Competency Spine'!O26="","",'2 Competency Spine'!O26)</f>
        <v>AIT100</v>
      </c>
      <c r="F26" s="19" t="n">
        <f aca="false">IF(TRIM(E26)="",0,LEN(E26)-LEN(SUBSTITUTE(E26,"/",""))+1)</f>
        <v>1</v>
      </c>
      <c r="G26" s="19" t="str">
        <f aca="false">IF(A26="","",IF(OR('2 Competency Spine'!M26&lt;&gt;"",'2 Competency Spine'!N26&lt;&gt;""),"Yes","No"))</f>
        <v>Yes</v>
      </c>
      <c r="H26" s="19" t="n">
        <f aca="false">'2 Competency Spine'!S26</f>
        <v>4</v>
      </c>
      <c r="I26" s="22" t="str">
        <f aca="false">IF(A26="","",IF(H26=0,"Gap: not taught anywhere",IF(F26=0,"Gap: no community college offering",IF(F26&gt;1,"Check: multiple CC courses",IF(G26="No","Covered: no high school on-ramp","Covered")))))</f>
        <v>Covered</v>
      </c>
      <c r="J26" s="21"/>
      <c r="K26" s="21"/>
      <c r="L26" s="21"/>
      <c r="M26" s="22" t="str">
        <f aca="false">IF(LEFT(I26,5)&lt;&gt;"Check","",IF(COUNTIF(J26:L26,"Yes")+COUNTIF(J26:L26,"No")&lt;3,"Answer the 3 questions",IF(COUNTIF(J26:L26,"Yes")=3,"Duplication: coordinate","Healthy on-ramp: keep")))</f>
        <v/>
      </c>
      <c r="N26" s="9"/>
      <c r="O26" s="9"/>
    </row>
    <row r="27" customFormat="false" ht="23.85" hidden="false" customHeight="false" outlineLevel="0" collapsed="false">
      <c r="A27" s="22" t="str">
        <f aca="false">IF('2 Competency Spine'!A27="","",'2 Competency Spine'!A27)</f>
        <v>AUT-05</v>
      </c>
      <c r="B27" s="11" t="str">
        <f aca="false">IF('2 Competency Spine'!C27="","",'2 Competency Spine'!C27)</f>
        <v>Implement machine safeguarding &amp; interlocks</v>
      </c>
      <c r="C27" s="11" t="str">
        <f aca="false">IF('2 Competency Spine'!B27="","",'2 Competency Spine'!B27)</f>
        <v>Pathway</v>
      </c>
      <c r="D27" s="11" t="str">
        <f aca="false">IF('2 Competency Spine'!E27="","",'2 Competency Spine'!E27)</f>
        <v>Automation, Controls &amp; Sensor Technologies</v>
      </c>
      <c r="E27" s="11" t="str">
        <f aca="false">IF('2 Competency Spine'!O27="","",'2 Competency Spine'!O27)</f>
        <v>AIT100</v>
      </c>
      <c r="F27" s="19" t="n">
        <f aca="false">IF(TRIM(E27)="",0,LEN(E27)-LEN(SUBSTITUTE(E27,"/",""))+1)</f>
        <v>1</v>
      </c>
      <c r="G27" s="19" t="str">
        <f aca="false">IF(A27="","",IF(OR('2 Competency Spine'!M27&lt;&gt;"",'2 Competency Spine'!N27&lt;&gt;""),"Yes","No"))</f>
        <v>Yes</v>
      </c>
      <c r="H27" s="19" t="n">
        <f aca="false">'2 Competency Spine'!S27</f>
        <v>4</v>
      </c>
      <c r="I27" s="22" t="str">
        <f aca="false">IF(A27="","",IF(H27=0,"Gap: not taught anywhere",IF(F27=0,"Gap: no community college offering",IF(F27&gt;1,"Check: multiple CC courses",IF(G27="No","Covered: no high school on-ramp","Covered")))))</f>
        <v>Covered</v>
      </c>
      <c r="J27" s="21"/>
      <c r="K27" s="21"/>
      <c r="L27" s="21"/>
      <c r="M27" s="22" t="str">
        <f aca="false">IF(LEFT(I27,5)&lt;&gt;"Check","",IF(COUNTIF(J27:L27,"Yes")+COUNTIF(J27:L27,"No")&lt;3,"Answer the 3 questions",IF(COUNTIF(J27:L27,"Yes")=3,"Duplication: coordinate","Healthy on-ramp: keep")))</f>
        <v/>
      </c>
      <c r="N27" s="9"/>
      <c r="O27" s="9"/>
    </row>
    <row r="28" customFormat="false" ht="23.85" hidden="false" customHeight="false" outlineLevel="0" collapsed="false">
      <c r="A28" s="22" t="str">
        <f aca="false">IF('2 Competency Spine'!A28="","",'2 Competency Spine'!A28)</f>
        <v>AUT-06</v>
      </c>
      <c r="B28" s="11" t="str">
        <f aca="false">IF('2 Competency Spine'!C28="","",'2 Competency Spine'!C28)</f>
        <v>Integrate robots</v>
      </c>
      <c r="C28" s="11" t="str">
        <f aca="false">IF('2 Competency Spine'!B28="","",'2 Competency Spine'!B28)</f>
        <v>Pathway</v>
      </c>
      <c r="D28" s="11" t="str">
        <f aca="false">IF('2 Competency Spine'!E28="","",'2 Competency Spine'!E28)</f>
        <v>Automation, Controls &amp; Sensor Technologies</v>
      </c>
      <c r="E28" s="11" t="str">
        <f aca="false">IF('2 Competency Spine'!O28="","",'2 Competency Spine'!O28)</f>
        <v>AIT270</v>
      </c>
      <c r="F28" s="19" t="n">
        <f aca="false">IF(TRIM(E28)="",0,LEN(E28)-LEN(SUBSTITUTE(E28,"/",""))+1)</f>
        <v>1</v>
      </c>
      <c r="G28" s="19" t="str">
        <f aca="false">IF(A28="","",IF(OR('2 Competency Spine'!M28&lt;&gt;"",'2 Competency Spine'!N28&lt;&gt;""),"Yes","No"))</f>
        <v>Yes</v>
      </c>
      <c r="H28" s="19" t="n">
        <f aca="false">'2 Competency Spine'!S28</f>
        <v>4</v>
      </c>
      <c r="I28" s="22" t="str">
        <f aca="false">IF(A28="","",IF(H28=0,"Gap: not taught anywhere",IF(F28=0,"Gap: no community college offering",IF(F28&gt;1,"Check: multiple CC courses",IF(G28="No","Covered: no high school on-ramp","Covered")))))</f>
        <v>Covered</v>
      </c>
      <c r="J28" s="21"/>
      <c r="K28" s="21"/>
      <c r="L28" s="21"/>
      <c r="M28" s="22" t="str">
        <f aca="false">IF(LEFT(I28,5)&lt;&gt;"Check","",IF(COUNTIF(J28:L28,"Yes")+COUNTIF(J28:L28,"No")&lt;3,"Answer the 3 questions",IF(COUNTIF(J28:L28,"Yes")=3,"Duplication: coordinate","Healthy on-ramp: keep")))</f>
        <v/>
      </c>
      <c r="N28" s="9"/>
      <c r="O28" s="9"/>
    </row>
    <row r="29" customFormat="false" ht="23.85" hidden="false" customHeight="false" outlineLevel="0" collapsed="false">
      <c r="A29" s="22" t="str">
        <f aca="false">IF('2 Competency Spine'!A29="","",'2 Competency Spine'!A29)</f>
        <v>AUT-07</v>
      </c>
      <c r="B29" s="11" t="str">
        <f aca="false">IF('2 Competency Spine'!C29="","",'2 Competency Spine'!C29)</f>
        <v>Configure PLC I/O modules</v>
      </c>
      <c r="C29" s="11" t="str">
        <f aca="false">IF('2 Competency Spine'!B29="","",'2 Competency Spine'!B29)</f>
        <v>Pathway</v>
      </c>
      <c r="D29" s="11" t="str">
        <f aca="false">IF('2 Competency Spine'!E29="","",'2 Competency Spine'!E29)</f>
        <v>Automation, Controls &amp; Sensor Technologies</v>
      </c>
      <c r="E29" s="11" t="str">
        <f aca="false">IF('2 Competency Spine'!O29="","",'2 Competency Spine'!O29)</f>
        <v>AIT210</v>
      </c>
      <c r="F29" s="19" t="n">
        <f aca="false">IF(TRIM(E29)="",0,LEN(E29)-LEN(SUBSTITUTE(E29,"/",""))+1)</f>
        <v>1</v>
      </c>
      <c r="G29" s="19" t="str">
        <f aca="false">IF(A29="","",IF(OR('2 Competency Spine'!M29&lt;&gt;"",'2 Competency Spine'!N29&lt;&gt;""),"Yes","No"))</f>
        <v>Yes</v>
      </c>
      <c r="H29" s="19" t="n">
        <f aca="false">'2 Competency Spine'!S29</f>
        <v>4</v>
      </c>
      <c r="I29" s="22" t="str">
        <f aca="false">IF(A29="","",IF(H29=0,"Gap: not taught anywhere",IF(F29=0,"Gap: no community college offering",IF(F29&gt;1,"Check: multiple CC courses",IF(G29="No","Covered: no high school on-ramp","Covered")))))</f>
        <v>Covered</v>
      </c>
      <c r="J29" s="21"/>
      <c r="K29" s="21"/>
      <c r="L29" s="21"/>
      <c r="M29" s="22" t="str">
        <f aca="false">IF(LEFT(I29,5)&lt;&gt;"Check","",IF(COUNTIF(J29:L29,"Yes")+COUNTIF(J29:L29,"No")&lt;3,"Answer the 3 questions",IF(COUNTIF(J29:L29,"Yes")=3,"Duplication: coordinate","Healthy on-ramp: keep")))</f>
        <v/>
      </c>
      <c r="N29" s="9"/>
      <c r="O29" s="9"/>
    </row>
    <row r="30" customFormat="false" ht="23.85" hidden="false" customHeight="false" outlineLevel="0" collapsed="false">
      <c r="A30" s="22" t="str">
        <f aca="false">IF('2 Competency Spine'!A30="","",'2 Competency Spine'!A30)</f>
        <v>AUT-08</v>
      </c>
      <c r="B30" s="11" t="str">
        <f aca="false">IF('2 Competency Spine'!C30="","",'2 Competency Spine'!C30)</f>
        <v>Validate sensor-based control performance</v>
      </c>
      <c r="C30" s="11" t="str">
        <f aca="false">IF('2 Competency Spine'!B30="","",'2 Competency Spine'!B30)</f>
        <v>Pathway</v>
      </c>
      <c r="D30" s="11" t="str">
        <f aca="false">IF('2 Competency Spine'!E30="","",'2 Competency Spine'!E30)</f>
        <v>Automation, Controls &amp; Sensor Technologies</v>
      </c>
      <c r="E30" s="11" t="str">
        <f aca="false">IF('2 Competency Spine'!O30="","",'2 Competency Spine'!O30)</f>
        <v>AIT215</v>
      </c>
      <c r="F30" s="19" t="n">
        <f aca="false">IF(TRIM(E30)="",0,LEN(E30)-LEN(SUBSTITUTE(E30,"/",""))+1)</f>
        <v>1</v>
      </c>
      <c r="G30" s="19" t="str">
        <f aca="false">IF(A30="","",IF(OR('2 Competency Spine'!M30&lt;&gt;"",'2 Competency Spine'!N30&lt;&gt;""),"Yes","No"))</f>
        <v>Yes</v>
      </c>
      <c r="H30" s="19" t="n">
        <f aca="false">'2 Competency Spine'!S30</f>
        <v>4</v>
      </c>
      <c r="I30" s="22" t="str">
        <f aca="false">IF(A30="","",IF(H30=0,"Gap: not taught anywhere",IF(F30=0,"Gap: no community college offering",IF(F30&gt;1,"Check: multiple CC courses",IF(G30="No","Covered: no high school on-ramp","Covered")))))</f>
        <v>Covered</v>
      </c>
      <c r="J30" s="21"/>
      <c r="K30" s="21"/>
      <c r="L30" s="21"/>
      <c r="M30" s="22" t="str">
        <f aca="false">IF(LEFT(I30,5)&lt;&gt;"Check","",IF(COUNTIF(J30:L30,"Yes")+COUNTIF(J30:L30,"No")&lt;3,"Answer the 3 questions",IF(COUNTIF(J30:L30,"Yes")=3,"Duplication: coordinate","Healthy on-ramp: keep")))</f>
        <v/>
      </c>
      <c r="N30" s="9"/>
      <c r="O30" s="9"/>
    </row>
    <row r="31" customFormat="false" ht="23.85" hidden="false" customHeight="false" outlineLevel="0" collapsed="false">
      <c r="A31" s="22" t="str">
        <f aca="false">IF('2 Competency Spine'!A31="","",'2 Competency Spine'!A31)</f>
        <v>AUT-09</v>
      </c>
      <c r="B31" s="11" t="str">
        <f aca="false">IF('2 Competency Spine'!C31="","",'2 Competency Spine'!C31)</f>
        <v>Control loop theory</v>
      </c>
      <c r="C31" s="11" t="str">
        <f aca="false">IF('2 Competency Spine'!B31="","",'2 Competency Spine'!B31)</f>
        <v>Pathway</v>
      </c>
      <c r="D31" s="11" t="str">
        <f aca="false">IF('2 Competency Spine'!E31="","",'2 Competency Spine'!E31)</f>
        <v>Automation, Controls &amp; Sensor Technologies</v>
      </c>
      <c r="E31" s="11" t="str">
        <f aca="false">IF('2 Competency Spine'!O31="","",'2 Competency Spine'!O31)</f>
        <v>ELC210 / MET220</v>
      </c>
      <c r="F31" s="19" t="n">
        <f aca="false">IF(TRIM(E31)="",0,LEN(E31)-LEN(SUBSTITUTE(E31,"/",""))+1)</f>
        <v>2</v>
      </c>
      <c r="G31" s="19" t="str">
        <f aca="false">IF(A31="","",IF(OR('2 Competency Spine'!M31&lt;&gt;"",'2 Competency Spine'!N31&lt;&gt;""),"Yes","No"))</f>
        <v>No</v>
      </c>
      <c r="H31" s="19" t="n">
        <f aca="false">'2 Competency Spine'!S31</f>
        <v>3</v>
      </c>
      <c r="I31" s="22" t="str">
        <f aca="false">IF(A31="","",IF(H31=0,"Gap: not taught anywhere",IF(F31=0,"Gap: no community college offering",IF(F31&gt;1,"Check: multiple CC courses",IF(G31="No","Covered: no high school on-ramp","Covered")))))</f>
        <v>Check: multiple CC courses</v>
      </c>
      <c r="J31" s="21"/>
      <c r="K31" s="21"/>
      <c r="L31" s="21"/>
      <c r="M31" s="22" t="str">
        <f aca="false">IF(LEFT(I31,5)&lt;&gt;"Check","",IF(COUNTIF(J31:L31,"Yes")+COUNTIF(J31:L31,"No")&lt;3,"Answer the 3 questions",IF(COUNTIF(J31:L31,"Yes")=3,"Duplication: coordinate","Healthy on-ramp: keep")))</f>
        <v>Answer the 3 questions</v>
      </c>
      <c r="N31" s="9"/>
      <c r="O31" s="9"/>
    </row>
    <row r="32" customFormat="false" ht="23.85" hidden="false" customHeight="false" outlineLevel="0" collapsed="false">
      <c r="A32" s="22" t="str">
        <f aca="false">IF('2 Competency Spine'!A32="","",'2 Competency Spine'!A32)</f>
        <v>AUT-10</v>
      </c>
      <c r="B32" s="11" t="str">
        <f aca="false">IF('2 Competency Spine'!C32="","",'2 Competency Spine'!C32)</f>
        <v>Sensor calibration principles</v>
      </c>
      <c r="C32" s="11" t="str">
        <f aca="false">IF('2 Competency Spine'!B32="","",'2 Competency Spine'!B32)</f>
        <v>Pathway</v>
      </c>
      <c r="D32" s="11" t="str">
        <f aca="false">IF('2 Competency Spine'!E32="","",'2 Competency Spine'!E32)</f>
        <v>Automation, Controls &amp; Sensor Technologies</v>
      </c>
      <c r="E32" s="11" t="str">
        <f aca="false">IF('2 Competency Spine'!O32="","",'2 Competency Spine'!O32)</f>
        <v>ELC210 / MET220</v>
      </c>
      <c r="F32" s="19" t="n">
        <f aca="false">IF(TRIM(E32)="",0,LEN(E32)-LEN(SUBSTITUTE(E32,"/",""))+1)</f>
        <v>2</v>
      </c>
      <c r="G32" s="19" t="str">
        <f aca="false">IF(A32="","",IF(OR('2 Competency Spine'!M32&lt;&gt;"",'2 Competency Spine'!N32&lt;&gt;""),"Yes","No"))</f>
        <v>No</v>
      </c>
      <c r="H32" s="19" t="n">
        <f aca="false">'2 Competency Spine'!S32</f>
        <v>3</v>
      </c>
      <c r="I32" s="22" t="str">
        <f aca="false">IF(A32="","",IF(H32=0,"Gap: not taught anywhere",IF(F32=0,"Gap: no community college offering",IF(F32&gt;1,"Check: multiple CC courses",IF(G32="No","Covered: no high school on-ramp","Covered")))))</f>
        <v>Check: multiple CC courses</v>
      </c>
      <c r="J32" s="21"/>
      <c r="K32" s="21"/>
      <c r="L32" s="21"/>
      <c r="M32" s="22" t="str">
        <f aca="false">IF(LEFT(I32,5)&lt;&gt;"Check","",IF(COUNTIF(J32:L32,"Yes")+COUNTIF(J32:L32,"No")&lt;3,"Answer the 3 questions",IF(COUNTIF(J32:L32,"Yes")=3,"Duplication: coordinate","Healthy on-ramp: keep")))</f>
        <v>Answer the 3 questions</v>
      </c>
      <c r="N32" s="9"/>
      <c r="O32" s="9"/>
    </row>
    <row r="33" customFormat="false" ht="23.85" hidden="false" customHeight="false" outlineLevel="0" collapsed="false">
      <c r="A33" s="22" t="str">
        <f aca="false">IF('2 Competency Spine'!A33="","",'2 Competency Spine'!A33)</f>
        <v>AUT-11</v>
      </c>
      <c r="B33" s="11" t="str">
        <f aca="false">IF('2 Competency Spine'!C33="","",'2 Competency Spine'!C33)</f>
        <v>SCADA alarm analytics</v>
      </c>
      <c r="C33" s="11" t="str">
        <f aca="false">IF('2 Competency Spine'!B33="","",'2 Competency Spine'!B33)</f>
        <v>Pathway</v>
      </c>
      <c r="D33" s="11" t="str">
        <f aca="false">IF('2 Competency Spine'!E33="","",'2 Competency Spine'!E33)</f>
        <v>Automation, Controls &amp; Sensor Technologies</v>
      </c>
      <c r="E33" s="11" t="str">
        <f aca="false">IF('2 Competency Spine'!O33="","",'2 Competency Spine'!O33)</f>
        <v>ELC210 / MET220</v>
      </c>
      <c r="F33" s="19" t="n">
        <f aca="false">IF(TRIM(E33)="",0,LEN(E33)-LEN(SUBSTITUTE(E33,"/",""))+1)</f>
        <v>2</v>
      </c>
      <c r="G33" s="19" t="str">
        <f aca="false">IF(A33="","",IF(OR('2 Competency Spine'!M33&lt;&gt;"",'2 Competency Spine'!N33&lt;&gt;""),"Yes","No"))</f>
        <v>No</v>
      </c>
      <c r="H33" s="19" t="n">
        <f aca="false">'2 Competency Spine'!S33</f>
        <v>3</v>
      </c>
      <c r="I33" s="22" t="str">
        <f aca="false">IF(A33="","",IF(H33=0,"Gap: not taught anywhere",IF(F33=0,"Gap: no community college offering",IF(F33&gt;1,"Check: multiple CC courses",IF(G33="No","Covered: no high school on-ramp","Covered")))))</f>
        <v>Check: multiple CC courses</v>
      </c>
      <c r="J33" s="21"/>
      <c r="K33" s="21"/>
      <c r="L33" s="21"/>
      <c r="M33" s="22" t="str">
        <f aca="false">IF(LEFT(I33,5)&lt;&gt;"Check","",IF(COUNTIF(J33:L33,"Yes")+COUNTIF(J33:L33,"No")&lt;3,"Answer the 3 questions",IF(COUNTIF(J33:L33,"Yes")=3,"Duplication: coordinate","Healthy on-ramp: keep")))</f>
        <v>Answer the 3 questions</v>
      </c>
      <c r="N33" s="9"/>
      <c r="O33" s="9"/>
    </row>
    <row r="34" customFormat="false" ht="23.85" hidden="false" customHeight="false" outlineLevel="0" collapsed="false">
      <c r="A34" s="22" t="str">
        <f aca="false">IF('2 Competency Spine'!A34="","",'2 Competency Spine'!A34)</f>
        <v>AUT-12</v>
      </c>
      <c r="B34" s="11" t="str">
        <f aca="false">IF('2 Competency Spine'!C34="","",'2 Competency Spine'!C34)</f>
        <v>HMI telemetry visualization</v>
      </c>
      <c r="C34" s="11" t="str">
        <f aca="false">IF('2 Competency Spine'!B34="","",'2 Competency Spine'!B34)</f>
        <v>Pathway</v>
      </c>
      <c r="D34" s="11" t="str">
        <f aca="false">IF('2 Competency Spine'!E34="","",'2 Competency Spine'!E34)</f>
        <v>Automation, Controls &amp; Sensor Technologies</v>
      </c>
      <c r="E34" s="11" t="str">
        <f aca="false">IF('2 Competency Spine'!O34="","",'2 Competency Spine'!O34)</f>
        <v>ELC210 / MET220</v>
      </c>
      <c r="F34" s="19" t="n">
        <f aca="false">IF(TRIM(E34)="",0,LEN(E34)-LEN(SUBSTITUTE(E34,"/",""))+1)</f>
        <v>2</v>
      </c>
      <c r="G34" s="19" t="str">
        <f aca="false">IF(A34="","",IF(OR('2 Competency Spine'!M34&lt;&gt;"",'2 Competency Spine'!N34&lt;&gt;""),"Yes","No"))</f>
        <v>No</v>
      </c>
      <c r="H34" s="19" t="n">
        <f aca="false">'2 Competency Spine'!S34</f>
        <v>3</v>
      </c>
      <c r="I34" s="22" t="str">
        <f aca="false">IF(A34="","",IF(H34=0,"Gap: not taught anywhere",IF(F34=0,"Gap: no community college offering",IF(F34&gt;1,"Check: multiple CC courses",IF(G34="No","Covered: no high school on-ramp","Covered")))))</f>
        <v>Check: multiple CC courses</v>
      </c>
      <c r="J34" s="21"/>
      <c r="K34" s="21"/>
      <c r="L34" s="21"/>
      <c r="M34" s="22" t="str">
        <f aca="false">IF(LEFT(I34,5)&lt;&gt;"Check","",IF(COUNTIF(J34:L34,"Yes")+COUNTIF(J34:L34,"No")&lt;3,"Answer the 3 questions",IF(COUNTIF(J34:L34,"Yes")=3,"Duplication: coordinate","Healthy on-ramp: keep")))</f>
        <v>Answer the 3 questions</v>
      </c>
      <c r="N34" s="9"/>
      <c r="O34" s="9"/>
    </row>
    <row r="35" customFormat="false" ht="23.85" hidden="false" customHeight="false" outlineLevel="0" collapsed="false">
      <c r="A35" s="22" t="str">
        <f aca="false">IF('2 Competency Spine'!A35="","",'2 Competency Spine'!A35)</f>
        <v>AUT-13</v>
      </c>
      <c r="B35" s="11" t="str">
        <f aca="false">IF('2 Competency Spine'!C35="","",'2 Competency Spine'!C35)</f>
        <v>ISO 13849 safety circuit validation</v>
      </c>
      <c r="C35" s="11" t="str">
        <f aca="false">IF('2 Competency Spine'!B35="","",'2 Competency Spine'!B35)</f>
        <v>Pathway</v>
      </c>
      <c r="D35" s="11" t="str">
        <f aca="false">IF('2 Competency Spine'!E35="","",'2 Competency Spine'!E35)</f>
        <v>Automation, Controls &amp; Sensor Technologies</v>
      </c>
      <c r="E35" s="11" t="str">
        <f aca="false">IF('2 Competency Spine'!O35="","",'2 Competency Spine'!O35)</f>
        <v>MET220 / ELC210</v>
      </c>
      <c r="F35" s="19" t="n">
        <f aca="false">IF(TRIM(E35)="",0,LEN(E35)-LEN(SUBSTITUTE(E35,"/",""))+1)</f>
        <v>2</v>
      </c>
      <c r="G35" s="19" t="str">
        <f aca="false">IF(A35="","",IF(OR('2 Competency Spine'!M35&lt;&gt;"",'2 Competency Spine'!N35&lt;&gt;""),"Yes","No"))</f>
        <v>No</v>
      </c>
      <c r="H35" s="19" t="n">
        <f aca="false">'2 Competency Spine'!S35</f>
        <v>3</v>
      </c>
      <c r="I35" s="22" t="str">
        <f aca="false">IF(A35="","",IF(H35=0,"Gap: not taught anywhere",IF(F35=0,"Gap: no community college offering",IF(F35&gt;1,"Check: multiple CC courses",IF(G35="No","Covered: no high school on-ramp","Covered")))))</f>
        <v>Check: multiple CC courses</v>
      </c>
      <c r="J35" s="21"/>
      <c r="K35" s="21"/>
      <c r="L35" s="21"/>
      <c r="M35" s="22" t="str">
        <f aca="false">IF(LEFT(I35,5)&lt;&gt;"Check","",IF(COUNTIF(J35:L35,"Yes")+COUNTIF(J35:L35,"No")&lt;3,"Answer the 3 questions",IF(COUNTIF(J35:L35,"Yes")=3,"Duplication: coordinate","Healthy on-ramp: keep")))</f>
        <v>Answer the 3 questions</v>
      </c>
      <c r="N35" s="9"/>
      <c r="O35" s="9"/>
    </row>
    <row r="36" customFormat="false" ht="23.85" hidden="false" customHeight="false" outlineLevel="0" collapsed="false">
      <c r="A36" s="22" t="str">
        <f aca="false">IF('2 Competency Spine'!A36="","",'2 Competency Spine'!A36)</f>
        <v>AUT-14</v>
      </c>
      <c r="B36" s="11" t="str">
        <f aca="false">IF('2 Competency Spine'!C36="","",'2 Competency Spine'!C36)</f>
        <v>Fail-safe interlock testing</v>
      </c>
      <c r="C36" s="11" t="str">
        <f aca="false">IF('2 Competency Spine'!B36="","",'2 Competency Spine'!B36)</f>
        <v>Pathway</v>
      </c>
      <c r="D36" s="11" t="str">
        <f aca="false">IF('2 Competency Spine'!E36="","",'2 Competency Spine'!E36)</f>
        <v>Automation, Controls &amp; Sensor Technologies</v>
      </c>
      <c r="E36" s="11" t="str">
        <f aca="false">IF('2 Competency Spine'!O36="","",'2 Competency Spine'!O36)</f>
        <v>MET220 / ELC210</v>
      </c>
      <c r="F36" s="19" t="n">
        <f aca="false">IF(TRIM(E36)="",0,LEN(E36)-LEN(SUBSTITUTE(E36,"/",""))+1)</f>
        <v>2</v>
      </c>
      <c r="G36" s="19" t="str">
        <f aca="false">IF(A36="","",IF(OR('2 Competency Spine'!M36&lt;&gt;"",'2 Competency Spine'!N36&lt;&gt;""),"Yes","No"))</f>
        <v>No</v>
      </c>
      <c r="H36" s="19" t="n">
        <f aca="false">'2 Competency Spine'!S36</f>
        <v>3</v>
      </c>
      <c r="I36" s="22" t="str">
        <f aca="false">IF(A36="","",IF(H36=0,"Gap: not taught anywhere",IF(F36=0,"Gap: no community college offering",IF(F36&gt;1,"Check: multiple CC courses",IF(G36="No","Covered: no high school on-ramp","Covered")))))</f>
        <v>Check: multiple CC courses</v>
      </c>
      <c r="J36" s="21"/>
      <c r="K36" s="21"/>
      <c r="L36" s="21"/>
      <c r="M36" s="22" t="str">
        <f aca="false">IF(LEFT(I36,5)&lt;&gt;"Check","",IF(COUNTIF(J36:L36,"Yes")+COUNTIF(J36:L36,"No")&lt;3,"Answer the 3 questions",IF(COUNTIF(J36:L36,"Yes")=3,"Duplication: coordinate","Healthy on-ramp: keep")))</f>
        <v>Answer the 3 questions</v>
      </c>
      <c r="N36" s="9"/>
      <c r="O36" s="9"/>
    </row>
    <row r="37" customFormat="false" ht="23.85" hidden="false" customHeight="false" outlineLevel="0" collapsed="false">
      <c r="A37" s="22" t="str">
        <f aca="false">IF('2 Competency Spine'!A37="","",'2 Competency Spine'!A37)</f>
        <v>AUT-15</v>
      </c>
      <c r="B37" s="11" t="str">
        <f aca="false">IF('2 Competency Spine'!C37="","",'2 Competency Spine'!C37)</f>
        <v>SCADA system programming</v>
      </c>
      <c r="C37" s="11" t="str">
        <f aca="false">IF('2 Competency Spine'!B37="","",'2 Competency Spine'!B37)</f>
        <v>Pathway</v>
      </c>
      <c r="D37" s="11" t="str">
        <f aca="false">IF('2 Competency Spine'!E37="","",'2 Competency Spine'!E37)</f>
        <v>Automation, Controls &amp; Sensor Technologies</v>
      </c>
      <c r="E37" s="11" t="str">
        <f aca="false">IF('2 Competency Spine'!O37="","",'2 Competency Spine'!O37)</f>
        <v>ELC210 / MET220</v>
      </c>
      <c r="F37" s="19" t="n">
        <f aca="false">IF(TRIM(E37)="",0,LEN(E37)-LEN(SUBSTITUTE(E37,"/",""))+1)</f>
        <v>2</v>
      </c>
      <c r="G37" s="19" t="str">
        <f aca="false">IF(A37="","",IF(OR('2 Competency Spine'!M37&lt;&gt;"",'2 Competency Spine'!N37&lt;&gt;""),"Yes","No"))</f>
        <v>No</v>
      </c>
      <c r="H37" s="19" t="n">
        <f aca="false">'2 Competency Spine'!S37</f>
        <v>3</v>
      </c>
      <c r="I37" s="22" t="str">
        <f aca="false">IF(A37="","",IF(H37=0,"Gap: not taught anywhere",IF(F37=0,"Gap: no community college offering",IF(F37&gt;1,"Check: multiple CC courses",IF(G37="No","Covered: no high school on-ramp","Covered")))))</f>
        <v>Check: multiple CC courses</v>
      </c>
      <c r="J37" s="21"/>
      <c r="K37" s="21"/>
      <c r="L37" s="21"/>
      <c r="M37" s="22" t="str">
        <f aca="false">IF(LEFT(I37,5)&lt;&gt;"Check","",IF(COUNTIF(J37:L37,"Yes")+COUNTIF(J37:L37,"No")&lt;3,"Answer the 3 questions",IF(COUNTIF(J37:L37,"Yes")=3,"Duplication: coordinate","Healthy on-ramp: keep")))</f>
        <v>Answer the 3 questions</v>
      </c>
      <c r="N37" s="9"/>
      <c r="O37" s="9"/>
    </row>
    <row r="38" customFormat="false" ht="23.85" hidden="false" customHeight="false" outlineLevel="0" collapsed="false">
      <c r="A38" s="22" t="str">
        <f aca="false">IF('2 Competency Spine'!A38="","",'2 Competency Spine'!A38)</f>
        <v>AUT-16</v>
      </c>
      <c r="B38" s="11" t="str">
        <f aca="false">IF('2 Competency Spine'!C38="","",'2 Competency Spine'!C38)</f>
        <v>Programmable logic controller integration</v>
      </c>
      <c r="C38" s="11" t="str">
        <f aca="false">IF('2 Competency Spine'!B38="","",'2 Competency Spine'!B38)</f>
        <v>Pathway</v>
      </c>
      <c r="D38" s="11" t="str">
        <f aca="false">IF('2 Competency Spine'!E38="","",'2 Competency Spine'!E38)</f>
        <v>Automation, Controls &amp; Sensor Technologies</v>
      </c>
      <c r="E38" s="11" t="str">
        <f aca="false">IF('2 Competency Spine'!O38="","",'2 Competency Spine'!O38)</f>
        <v>ELC210</v>
      </c>
      <c r="F38" s="19" t="n">
        <f aca="false">IF(TRIM(E38)="",0,LEN(E38)-LEN(SUBSTITUTE(E38,"/",""))+1)</f>
        <v>1</v>
      </c>
      <c r="G38" s="19" t="str">
        <f aca="false">IF(A38="","",IF(OR('2 Competency Spine'!M38&lt;&gt;"",'2 Competency Spine'!N38&lt;&gt;""),"Yes","No"))</f>
        <v>No</v>
      </c>
      <c r="H38" s="19" t="n">
        <f aca="false">'2 Competency Spine'!S38</f>
        <v>3</v>
      </c>
      <c r="I38" s="22" t="str">
        <f aca="false">IF(A38="","",IF(H38=0,"Gap: not taught anywhere",IF(F38=0,"Gap: no community college offering",IF(F38&gt;1,"Check: multiple CC courses",IF(G38="No","Covered: no high school on-ramp","Covered")))))</f>
        <v>Covered: no high school on-ramp</v>
      </c>
      <c r="J38" s="21"/>
      <c r="K38" s="21"/>
      <c r="L38" s="21"/>
      <c r="M38" s="22" t="str">
        <f aca="false">IF(LEFT(I38,5)&lt;&gt;"Check","",IF(COUNTIF(J38:L38,"Yes")+COUNTIF(J38:L38,"No")&lt;3,"Answer the 3 questions",IF(COUNTIF(J38:L38,"Yes")=3,"Duplication: coordinate","Healthy on-ramp: keep")))</f>
        <v/>
      </c>
      <c r="N38" s="9"/>
      <c r="O38" s="9"/>
    </row>
    <row r="39" customFormat="false" ht="23.85" hidden="false" customHeight="false" outlineLevel="0" collapsed="false">
      <c r="A39" s="22" t="str">
        <f aca="false">IF('2 Competency Spine'!A39="","",'2 Competency Spine'!A39)</f>
        <v>AUT-17</v>
      </c>
      <c r="B39" s="11" t="str">
        <f aca="false">IF('2 Competency Spine'!C39="","",'2 Competency Spine'!C39)</f>
        <v>PLC program modification</v>
      </c>
      <c r="C39" s="11" t="str">
        <f aca="false">IF('2 Competency Spine'!B39="","",'2 Competency Spine'!B39)</f>
        <v>Pathway</v>
      </c>
      <c r="D39" s="11" t="str">
        <f aca="false">IF('2 Competency Spine'!E39="","",'2 Competency Spine'!E39)</f>
        <v>Automation, Controls &amp; Sensor Technologies</v>
      </c>
      <c r="E39" s="11" t="str">
        <f aca="false">IF('2 Competency Spine'!O39="","",'2 Competency Spine'!O39)</f>
        <v>ELC210</v>
      </c>
      <c r="F39" s="19" t="n">
        <f aca="false">IF(TRIM(E39)="",0,LEN(E39)-LEN(SUBSTITUTE(E39,"/",""))+1)</f>
        <v>1</v>
      </c>
      <c r="G39" s="19" t="str">
        <f aca="false">IF(A39="","",IF(OR('2 Competency Spine'!M39&lt;&gt;"",'2 Competency Spine'!N39&lt;&gt;""),"Yes","No"))</f>
        <v>No</v>
      </c>
      <c r="H39" s="19" t="n">
        <f aca="false">'2 Competency Spine'!S39</f>
        <v>3</v>
      </c>
      <c r="I39" s="22" t="str">
        <f aca="false">IF(A39="","",IF(H39=0,"Gap: not taught anywhere",IF(F39=0,"Gap: no community college offering",IF(F39&gt;1,"Check: multiple CC courses",IF(G39="No","Covered: no high school on-ramp","Covered")))))</f>
        <v>Covered: no high school on-ramp</v>
      </c>
      <c r="J39" s="21"/>
      <c r="K39" s="21"/>
      <c r="L39" s="21"/>
      <c r="M39" s="22" t="str">
        <f aca="false">IF(LEFT(I39,5)&lt;&gt;"Check","",IF(COUNTIF(J39:L39,"Yes")+COUNTIF(J39:L39,"No")&lt;3,"Answer the 3 questions",IF(COUNTIF(J39:L39,"Yes")=3,"Duplication: coordinate","Healthy on-ramp: keep")))</f>
        <v/>
      </c>
      <c r="N39" s="9"/>
      <c r="O39" s="9"/>
    </row>
    <row r="40" customFormat="false" ht="23.85" hidden="false" customHeight="false" outlineLevel="0" collapsed="false">
      <c r="A40" s="22" t="str">
        <f aca="false">IF('2 Competency Spine'!A40="","",'2 Competency Spine'!A40)</f>
        <v>AUT-18</v>
      </c>
      <c r="B40" s="11" t="str">
        <f aca="false">IF('2 Competency Spine'!C40="","",'2 Competency Spine'!C40)</f>
        <v>Sensor error diagnostics</v>
      </c>
      <c r="C40" s="11" t="str">
        <f aca="false">IF('2 Competency Spine'!B40="","",'2 Competency Spine'!B40)</f>
        <v>Pathway</v>
      </c>
      <c r="D40" s="11" t="str">
        <f aca="false">IF('2 Competency Spine'!E40="","",'2 Competency Spine'!E40)</f>
        <v>Automation, Controls &amp; Sensor Technologies</v>
      </c>
      <c r="E40" s="11" t="str">
        <f aca="false">IF('2 Competency Spine'!O40="","",'2 Competency Spine'!O40)</f>
        <v>ELC210 / MET220</v>
      </c>
      <c r="F40" s="19" t="n">
        <f aca="false">IF(TRIM(E40)="",0,LEN(E40)-LEN(SUBSTITUTE(E40,"/",""))+1)</f>
        <v>2</v>
      </c>
      <c r="G40" s="19" t="str">
        <f aca="false">IF(A40="","",IF(OR('2 Competency Spine'!M40&lt;&gt;"",'2 Competency Spine'!N40&lt;&gt;""),"Yes","No"))</f>
        <v>No</v>
      </c>
      <c r="H40" s="19" t="n">
        <f aca="false">'2 Competency Spine'!S40</f>
        <v>3</v>
      </c>
      <c r="I40" s="22" t="str">
        <f aca="false">IF(A40="","",IF(H40=0,"Gap: not taught anywhere",IF(F40=0,"Gap: no community college offering",IF(F40&gt;1,"Check: multiple CC courses",IF(G40="No","Covered: no high school on-ramp","Covered")))))</f>
        <v>Check: multiple CC courses</v>
      </c>
      <c r="J40" s="21"/>
      <c r="K40" s="21"/>
      <c r="L40" s="21"/>
      <c r="M40" s="22" t="str">
        <f aca="false">IF(LEFT(I40,5)&lt;&gt;"Check","",IF(COUNTIF(J40:L40,"Yes")+COUNTIF(J40:L40,"No")&lt;3,"Answer the 3 questions",IF(COUNTIF(J40:L40,"Yes")=3,"Duplication: coordinate","Healthy on-ramp: keep")))</f>
        <v>Answer the 3 questions</v>
      </c>
      <c r="N40" s="9"/>
      <c r="O40" s="9"/>
    </row>
    <row r="41" customFormat="false" ht="23.85" hidden="false" customHeight="false" outlineLevel="0" collapsed="false">
      <c r="A41" s="22" t="str">
        <f aca="false">IF('2 Competency Spine'!A41="","",'2 Competency Spine'!A41)</f>
        <v>DAT-01</v>
      </c>
      <c r="B41" s="11" t="str">
        <f aca="false">IF('2 Competency Spine'!C41="","",'2 Competency Spine'!C41)</f>
        <v>Apply AAA &amp; CIA frameworks</v>
      </c>
      <c r="C41" s="11" t="str">
        <f aca="false">IF('2 Competency Spine'!B41="","",'2 Competency Spine'!B41)</f>
        <v>Pathway</v>
      </c>
      <c r="D41" s="11" t="str">
        <f aca="false">IF('2 Competency Spine'!E41="","",'2 Competency Spine'!E41)</f>
        <v>Data, Cybersecurity &amp; Infrastructure</v>
      </c>
      <c r="E41" s="11" t="str">
        <f aca="false">IF('2 Competency Spine'!O41="","",'2 Competency Spine'!O41)</f>
        <v>ITS110</v>
      </c>
      <c r="F41" s="19" t="n">
        <f aca="false">IF(TRIM(E41)="",0,LEN(E41)-LEN(SUBSTITUTE(E41,"/",""))+1)</f>
        <v>1</v>
      </c>
      <c r="G41" s="19" t="str">
        <f aca="false">IF(A41="","",IF(OR('2 Competency Spine'!M41&lt;&gt;"",'2 Competency Spine'!N41&lt;&gt;""),"Yes","No"))</f>
        <v>Yes</v>
      </c>
      <c r="H41" s="19" t="n">
        <f aca="false">'2 Competency Spine'!S41</f>
        <v>4</v>
      </c>
      <c r="I41" s="22" t="str">
        <f aca="false">IF(A41="","",IF(H41=0,"Gap: not taught anywhere",IF(F41=0,"Gap: no community college offering",IF(F41&gt;1,"Check: multiple CC courses",IF(G41="No","Covered: no high school on-ramp","Covered")))))</f>
        <v>Covered</v>
      </c>
      <c r="J41" s="21"/>
      <c r="K41" s="21"/>
      <c r="L41" s="21"/>
      <c r="M41" s="22" t="str">
        <f aca="false">IF(LEFT(I41,5)&lt;&gt;"Check","",IF(COUNTIF(J41:L41,"Yes")+COUNTIF(J41:L41,"No")&lt;3,"Answer the 3 questions",IF(COUNTIF(J41:L41,"Yes")=3,"Duplication: coordinate","Healthy on-ramp: keep")))</f>
        <v/>
      </c>
      <c r="N41" s="9"/>
      <c r="O41" s="9"/>
    </row>
    <row r="42" customFormat="false" ht="23.85" hidden="false" customHeight="false" outlineLevel="0" collapsed="false">
      <c r="A42" s="22" t="str">
        <f aca="false">IF('2 Competency Spine'!A42="","",'2 Competency Spine'!A42)</f>
        <v>DAT-02</v>
      </c>
      <c r="B42" s="11" t="str">
        <f aca="false">IF('2 Competency Spine'!C42="","",'2 Competency Spine'!C42)</f>
        <v>Configure access controls on systems</v>
      </c>
      <c r="C42" s="11" t="str">
        <f aca="false">IF('2 Competency Spine'!B42="","",'2 Competency Spine'!B42)</f>
        <v>Pathway</v>
      </c>
      <c r="D42" s="11" t="str">
        <f aca="false">IF('2 Competency Spine'!E42="","",'2 Competency Spine'!E42)</f>
        <v>Data, Cybersecurity &amp; Infrastructure</v>
      </c>
      <c r="E42" s="11" t="str">
        <f aca="false">IF('2 Competency Spine'!O42="","",'2 Competency Spine'!O42)</f>
        <v>ITS120</v>
      </c>
      <c r="F42" s="19" t="n">
        <f aca="false">IF(TRIM(E42)="",0,LEN(E42)-LEN(SUBSTITUTE(E42,"/",""))+1)</f>
        <v>1</v>
      </c>
      <c r="G42" s="19" t="str">
        <f aca="false">IF(A42="","",IF(OR('2 Competency Spine'!M42&lt;&gt;"",'2 Competency Spine'!N42&lt;&gt;""),"Yes","No"))</f>
        <v>Yes</v>
      </c>
      <c r="H42" s="19" t="n">
        <f aca="false">'2 Competency Spine'!S42</f>
        <v>4</v>
      </c>
      <c r="I42" s="22" t="str">
        <f aca="false">IF(A42="","",IF(H42=0,"Gap: not taught anywhere",IF(F42=0,"Gap: no community college offering",IF(F42&gt;1,"Check: multiple CC courses",IF(G42="No","Covered: no high school on-ramp","Covered")))))</f>
        <v>Covered</v>
      </c>
      <c r="J42" s="21"/>
      <c r="K42" s="21"/>
      <c r="L42" s="21"/>
      <c r="M42" s="22" t="str">
        <f aca="false">IF(LEFT(I42,5)&lt;&gt;"Check","",IF(COUNTIF(J42:L42,"Yes")+COUNTIF(J42:L42,"No")&lt;3,"Answer the 3 questions",IF(COUNTIF(J42:L42,"Yes")=3,"Duplication: coordinate","Healthy on-ramp: keep")))</f>
        <v/>
      </c>
      <c r="N42" s="9"/>
      <c r="O42" s="9"/>
    </row>
    <row r="43" customFormat="false" ht="23.85" hidden="false" customHeight="false" outlineLevel="0" collapsed="false">
      <c r="A43" s="22" t="str">
        <f aca="false">IF('2 Competency Spine'!A43="","",'2 Competency Spine'!A43)</f>
        <v>DAT-03</v>
      </c>
      <c r="B43" s="11" t="str">
        <f aca="false">IF('2 Competency Spine'!C43="","",'2 Competency Spine'!C43)</f>
        <v>Support quality audits</v>
      </c>
      <c r="C43" s="11" t="str">
        <f aca="false">IF('2 Competency Spine'!B43="","",'2 Competency Spine'!B43)</f>
        <v>Pathway</v>
      </c>
      <c r="D43" s="11" t="str">
        <f aca="false">IF('2 Competency Spine'!E43="","",'2 Competency Spine'!E43)</f>
        <v>Data, Cybersecurity &amp; Infrastructure</v>
      </c>
      <c r="E43" s="11" t="str">
        <f aca="false">IF('2 Competency Spine'!O43="","",'2 Competency Spine'!O43)</f>
        <v>MNT235</v>
      </c>
      <c r="F43" s="19" t="n">
        <f aca="false">IF(TRIM(E43)="",0,LEN(E43)-LEN(SUBSTITUTE(E43,"/",""))+1)</f>
        <v>1</v>
      </c>
      <c r="G43" s="19" t="str">
        <f aca="false">IF(A43="","",IF(OR('2 Competency Spine'!M43&lt;&gt;"",'2 Competency Spine'!N43&lt;&gt;""),"Yes","No"))</f>
        <v>Yes</v>
      </c>
      <c r="H43" s="19" t="n">
        <f aca="false">'2 Competency Spine'!S43</f>
        <v>4</v>
      </c>
      <c r="I43" s="22" t="str">
        <f aca="false">IF(A43="","",IF(H43=0,"Gap: not taught anywhere",IF(F43=0,"Gap: no community college offering",IF(F43&gt;1,"Check: multiple CC courses",IF(G43="No","Covered: no high school on-ramp","Covered")))))</f>
        <v>Covered</v>
      </c>
      <c r="J43" s="21"/>
      <c r="K43" s="21"/>
      <c r="L43" s="21"/>
      <c r="M43" s="22" t="str">
        <f aca="false">IF(LEFT(I43,5)&lt;&gt;"Check","",IF(COUNTIF(J43:L43,"Yes")+COUNTIF(J43:L43,"No")&lt;3,"Answer the 3 questions",IF(COUNTIF(J43:L43,"Yes")=3,"Duplication: coordinate","Healthy on-ramp: keep")))</f>
        <v/>
      </c>
      <c r="N43" s="9"/>
      <c r="O43" s="9"/>
    </row>
    <row r="44" customFormat="false" ht="23.85" hidden="false" customHeight="false" outlineLevel="0" collapsed="false">
      <c r="A44" s="22" t="str">
        <f aca="false">IF('2 Competency Spine'!A44="","",'2 Competency Spine'!A44)</f>
        <v>DAT-04</v>
      </c>
      <c r="B44" s="11" t="str">
        <f aca="false">IF('2 Competency Spine'!C44="","",'2 Competency Spine'!C44)</f>
        <v>Monitor data integrity</v>
      </c>
      <c r="C44" s="11" t="str">
        <f aca="false">IF('2 Competency Spine'!B44="","",'2 Competency Spine'!B44)</f>
        <v>Pathway</v>
      </c>
      <c r="D44" s="11" t="str">
        <f aca="false">IF('2 Competency Spine'!E44="","",'2 Competency Spine'!E44)</f>
        <v>Data, Cybersecurity &amp; Infrastructure</v>
      </c>
      <c r="E44" s="11" t="str">
        <f aca="false">IF('2 Competency Spine'!O44="","",'2 Competency Spine'!O44)</f>
        <v>MNT108</v>
      </c>
      <c r="F44" s="19" t="n">
        <f aca="false">IF(TRIM(E44)="",0,LEN(E44)-LEN(SUBSTITUTE(E44,"/",""))+1)</f>
        <v>1</v>
      </c>
      <c r="G44" s="19" t="str">
        <f aca="false">IF(A44="","",IF(OR('2 Competency Spine'!M44&lt;&gt;"",'2 Competency Spine'!N44&lt;&gt;""),"Yes","No"))</f>
        <v>Yes</v>
      </c>
      <c r="H44" s="19" t="n">
        <f aca="false">'2 Competency Spine'!S44</f>
        <v>4</v>
      </c>
      <c r="I44" s="22" t="str">
        <f aca="false">IF(A44="","",IF(H44=0,"Gap: not taught anywhere",IF(F44=0,"Gap: no community college offering",IF(F44&gt;1,"Check: multiple CC courses",IF(G44="No","Covered: no high school on-ramp","Covered")))))</f>
        <v>Covered</v>
      </c>
      <c r="J44" s="21"/>
      <c r="K44" s="21"/>
      <c r="L44" s="21"/>
      <c r="M44" s="22" t="str">
        <f aca="false">IF(LEFT(I44,5)&lt;&gt;"Check","",IF(COUNTIF(J44:L44,"Yes")+COUNTIF(J44:L44,"No")&lt;3,"Answer the 3 questions",IF(COUNTIF(J44:L44,"Yes")=3,"Duplication: coordinate","Healthy on-ramp: keep")))</f>
        <v/>
      </c>
      <c r="N44" s="9"/>
      <c r="O44" s="9"/>
    </row>
    <row r="45" customFormat="false" ht="23.85" hidden="false" customHeight="false" outlineLevel="0" collapsed="false">
      <c r="A45" s="22" t="str">
        <f aca="false">IF('2 Competency Spine'!A45="","",'2 Competency Spine'!A45)</f>
        <v>DAT-05</v>
      </c>
      <c r="B45" s="11" t="str">
        <f aca="false">IF('2 Competency Spine'!C45="","",'2 Competency Spine'!C45)</f>
        <v>Database design principles</v>
      </c>
      <c r="C45" s="11" t="str">
        <f aca="false">IF('2 Competency Spine'!B45="","",'2 Competency Spine'!B45)</f>
        <v>Pathway</v>
      </c>
      <c r="D45" s="11" t="str">
        <f aca="false">IF('2 Competency Spine'!E45="","",'2 Competency Spine'!E45)</f>
        <v>Data, Cybersecurity &amp; Infrastructure</v>
      </c>
      <c r="E45" s="11" t="str">
        <f aca="false">IF('2 Competency Spine'!O45="","",'2 Competency Spine'!O45)</f>
        <v>CIS105 / BPC110</v>
      </c>
      <c r="F45" s="19" t="n">
        <f aca="false">IF(TRIM(E45)="",0,LEN(E45)-LEN(SUBSTITUTE(E45,"/",""))+1)</f>
        <v>2</v>
      </c>
      <c r="G45" s="19" t="str">
        <f aca="false">IF(A45="","",IF(OR('2 Competency Spine'!M45&lt;&gt;"",'2 Competency Spine'!N45&lt;&gt;""),"Yes","No"))</f>
        <v>No</v>
      </c>
      <c r="H45" s="19" t="n">
        <f aca="false">'2 Competency Spine'!S45</f>
        <v>3</v>
      </c>
      <c r="I45" s="22" t="str">
        <f aca="false">IF(A45="","",IF(H45=0,"Gap: not taught anywhere",IF(F45=0,"Gap: no community college offering",IF(F45&gt;1,"Check: multiple CC courses",IF(G45="No","Covered: no high school on-ramp","Covered")))))</f>
        <v>Check: multiple CC courses</v>
      </c>
      <c r="J45" s="21"/>
      <c r="K45" s="21"/>
      <c r="L45" s="21"/>
      <c r="M45" s="22" t="str">
        <f aca="false">IF(LEFT(I45,5)&lt;&gt;"Check","",IF(COUNTIF(J45:L45,"Yes")+COUNTIF(J45:L45,"No")&lt;3,"Answer the 3 questions",IF(COUNTIF(J45:L45,"Yes")=3,"Duplication: coordinate","Healthy on-ramp: keep")))</f>
        <v>Answer the 3 questions</v>
      </c>
      <c r="N45" s="9"/>
      <c r="O45" s="9"/>
    </row>
    <row r="46" customFormat="false" ht="23.85" hidden="false" customHeight="false" outlineLevel="0" collapsed="false">
      <c r="A46" s="22" t="str">
        <f aca="false">IF('2 Competency Spine'!A46="","",'2 Competency Spine'!A46)</f>
        <v>DAT-06</v>
      </c>
      <c r="B46" s="11" t="str">
        <f aca="false">IF('2 Competency Spine'!C46="","",'2 Competency Spine'!C46)</f>
        <v>OT cybersecurity threat hunting</v>
      </c>
      <c r="C46" s="11" t="str">
        <f aca="false">IF('2 Competency Spine'!B46="","",'2 Competency Spine'!B46)</f>
        <v>Pathway</v>
      </c>
      <c r="D46" s="11" t="str">
        <f aca="false">IF('2 Competency Spine'!E46="","",'2 Competency Spine'!E46)</f>
        <v>Data, Cybersecurity &amp; Infrastructure</v>
      </c>
      <c r="E46" s="11" t="str">
        <f aca="false">IF('2 Competency Spine'!O46="","",'2 Competency Spine'!O46)</f>
        <v>CIS114DE / ITS110</v>
      </c>
      <c r="F46" s="19" t="n">
        <f aca="false">IF(TRIM(E46)="",0,LEN(E46)-LEN(SUBSTITUTE(E46,"/",""))+1)</f>
        <v>2</v>
      </c>
      <c r="G46" s="19" t="str">
        <f aca="false">IF(A46="","",IF(OR('2 Competency Spine'!M46&lt;&gt;"",'2 Competency Spine'!N46&lt;&gt;""),"Yes","No"))</f>
        <v>No</v>
      </c>
      <c r="H46" s="19" t="n">
        <f aca="false">'2 Competency Spine'!S46</f>
        <v>3</v>
      </c>
      <c r="I46" s="22" t="str">
        <f aca="false">IF(A46="","",IF(H46=0,"Gap: not taught anywhere",IF(F46=0,"Gap: no community college offering",IF(F46&gt;1,"Check: multiple CC courses",IF(G46="No","Covered: no high school on-ramp","Covered")))))</f>
        <v>Check: multiple CC courses</v>
      </c>
      <c r="J46" s="21"/>
      <c r="K46" s="21"/>
      <c r="L46" s="21"/>
      <c r="M46" s="22" t="str">
        <f aca="false">IF(LEFT(I46,5)&lt;&gt;"Check","",IF(COUNTIF(J46:L46,"Yes")+COUNTIF(J46:L46,"No")&lt;3,"Answer the 3 questions",IF(COUNTIF(J46:L46,"Yes")=3,"Duplication: coordinate","Healthy on-ramp: keep")))</f>
        <v>Answer the 3 questions</v>
      </c>
      <c r="N46" s="9"/>
      <c r="O46" s="9"/>
    </row>
    <row r="47" customFormat="false" ht="23.85" hidden="false" customHeight="false" outlineLevel="0" collapsed="false">
      <c r="A47" s="22" t="str">
        <f aca="false">IF('2 Competency Spine'!A47="","",'2 Competency Spine'!A47)</f>
        <v>DAT-07</v>
      </c>
      <c r="B47" s="11" t="str">
        <f aca="false">IF('2 Competency Spine'!C47="","",'2 Competency Spine'!C47)</f>
        <v>Fab database SQL querying</v>
      </c>
      <c r="C47" s="11" t="str">
        <f aca="false">IF('2 Competency Spine'!B47="","",'2 Competency Spine'!B47)</f>
        <v>Pathway</v>
      </c>
      <c r="D47" s="11" t="str">
        <f aca="false">IF('2 Competency Spine'!E47="","",'2 Competency Spine'!E47)</f>
        <v>Data, Cybersecurity &amp; Infrastructure</v>
      </c>
      <c r="E47" s="11" t="str">
        <f aca="false">IF('2 Competency Spine'!O47="","",'2 Competency Spine'!O47)</f>
        <v>CIS105 / BPC110</v>
      </c>
      <c r="F47" s="19" t="n">
        <f aca="false">IF(TRIM(E47)="",0,LEN(E47)-LEN(SUBSTITUTE(E47,"/",""))+1)</f>
        <v>2</v>
      </c>
      <c r="G47" s="19" t="str">
        <f aca="false">IF(A47="","",IF(OR('2 Competency Spine'!M47&lt;&gt;"",'2 Competency Spine'!N47&lt;&gt;""),"Yes","No"))</f>
        <v>No</v>
      </c>
      <c r="H47" s="19" t="n">
        <f aca="false">'2 Competency Spine'!S47</f>
        <v>3</v>
      </c>
      <c r="I47" s="22" t="str">
        <f aca="false">IF(A47="","",IF(H47=0,"Gap: not taught anywhere",IF(F47=0,"Gap: no community college offering",IF(F47&gt;1,"Check: multiple CC courses",IF(G47="No","Covered: no high school on-ramp","Covered")))))</f>
        <v>Check: multiple CC courses</v>
      </c>
      <c r="J47" s="21"/>
      <c r="K47" s="21"/>
      <c r="L47" s="21"/>
      <c r="M47" s="22" t="str">
        <f aca="false">IF(LEFT(I47,5)&lt;&gt;"Check","",IF(COUNTIF(J47:L47,"Yes")+COUNTIF(J47:L47,"No")&lt;3,"Answer the 3 questions",IF(COUNTIF(J47:L47,"Yes")=3,"Duplication: coordinate","Healthy on-ramp: keep")))</f>
        <v>Answer the 3 questions</v>
      </c>
      <c r="N47" s="9"/>
      <c r="O47" s="9"/>
    </row>
    <row r="48" customFormat="false" ht="23.85" hidden="false" customHeight="false" outlineLevel="0" collapsed="false">
      <c r="A48" s="22" t="str">
        <f aca="false">IF('2 Competency Spine'!A48="","",'2 Competency Spine'!A48)</f>
        <v>DAT-08</v>
      </c>
      <c r="B48" s="11" t="str">
        <f aca="false">IF('2 Competency Spine'!C48="","",'2 Competency Spine'!C48)</f>
        <v>Fab cyber threat monitoring</v>
      </c>
      <c r="C48" s="11" t="str">
        <f aca="false">IF('2 Competency Spine'!B48="","",'2 Competency Spine'!B48)</f>
        <v>Pathway</v>
      </c>
      <c r="D48" s="11" t="str">
        <f aca="false">IF('2 Competency Spine'!E48="","",'2 Competency Spine'!E48)</f>
        <v>Data, Cybersecurity &amp; Infrastructure</v>
      </c>
      <c r="E48" s="11" t="str">
        <f aca="false">IF('2 Competency Spine'!O48="","",'2 Competency Spine'!O48)</f>
        <v>CIS114DE / ITS110</v>
      </c>
      <c r="F48" s="19" t="n">
        <f aca="false">IF(TRIM(E48)="",0,LEN(E48)-LEN(SUBSTITUTE(E48,"/",""))+1)</f>
        <v>2</v>
      </c>
      <c r="G48" s="19" t="str">
        <f aca="false">IF(A48="","",IF(OR('2 Competency Spine'!M48&lt;&gt;"",'2 Competency Spine'!N48&lt;&gt;""),"Yes","No"))</f>
        <v>No</v>
      </c>
      <c r="H48" s="19" t="n">
        <f aca="false">'2 Competency Spine'!S48</f>
        <v>3</v>
      </c>
      <c r="I48" s="22" t="str">
        <f aca="false">IF(A48="","",IF(H48=0,"Gap: not taught anywhere",IF(F48=0,"Gap: no community college offering",IF(F48&gt;1,"Check: multiple CC courses",IF(G48="No","Covered: no high school on-ramp","Covered")))))</f>
        <v>Check: multiple CC courses</v>
      </c>
      <c r="J48" s="21"/>
      <c r="K48" s="21"/>
      <c r="L48" s="21"/>
      <c r="M48" s="22" t="str">
        <f aca="false">IF(LEFT(I48,5)&lt;&gt;"Check","",IF(COUNTIF(J48:L48,"Yes")+COUNTIF(J48:L48,"No")&lt;3,"Answer the 3 questions",IF(COUNTIF(J48:L48,"Yes")=3,"Duplication: coordinate","Healthy on-ramp: keep")))</f>
        <v>Answer the 3 questions</v>
      </c>
      <c r="N48" s="9"/>
      <c r="O48" s="9"/>
    </row>
    <row r="49" customFormat="false" ht="23.85" hidden="false" customHeight="false" outlineLevel="0" collapsed="false">
      <c r="A49" s="22" t="str">
        <f aca="false">IF('2 Competency Spine'!A49="","",'2 Competency Spine'!A49)</f>
        <v>DAT-09</v>
      </c>
      <c r="B49" s="11" t="str">
        <f aca="false">IF('2 Competency Spine'!C49="","",'2 Competency Spine'!C49)</f>
        <v>Securing legacy equipment endpoints</v>
      </c>
      <c r="C49" s="11" t="str">
        <f aca="false">IF('2 Competency Spine'!B49="","",'2 Competency Spine'!B49)</f>
        <v>Pathway</v>
      </c>
      <c r="D49" s="11" t="str">
        <f aca="false">IF('2 Competency Spine'!E49="","",'2 Competency Spine'!E49)</f>
        <v>Data, Cybersecurity &amp; Infrastructure</v>
      </c>
      <c r="E49" s="11" t="str">
        <f aca="false">IF('2 Competency Spine'!O49="","",'2 Competency Spine'!O49)</f>
        <v>CIS114DE / ITS110</v>
      </c>
      <c r="F49" s="19" t="n">
        <f aca="false">IF(TRIM(E49)="",0,LEN(E49)-LEN(SUBSTITUTE(E49,"/",""))+1)</f>
        <v>2</v>
      </c>
      <c r="G49" s="19" t="str">
        <f aca="false">IF(A49="","",IF(OR('2 Competency Spine'!M49&lt;&gt;"",'2 Competency Spine'!N49&lt;&gt;""),"Yes","No"))</f>
        <v>No</v>
      </c>
      <c r="H49" s="19" t="n">
        <f aca="false">'2 Competency Spine'!S49</f>
        <v>3</v>
      </c>
      <c r="I49" s="22" t="str">
        <f aca="false">IF(A49="","",IF(H49=0,"Gap: not taught anywhere",IF(F49=0,"Gap: no community college offering",IF(F49&gt;1,"Check: multiple CC courses",IF(G49="No","Covered: no high school on-ramp","Covered")))))</f>
        <v>Check: multiple CC courses</v>
      </c>
      <c r="J49" s="21"/>
      <c r="K49" s="21"/>
      <c r="L49" s="21"/>
      <c r="M49" s="22" t="str">
        <f aca="false">IF(LEFT(I49,5)&lt;&gt;"Check","",IF(COUNTIF(J49:L49,"Yes")+COUNTIF(J49:L49,"No")&lt;3,"Answer the 3 questions",IF(COUNTIF(J49:L49,"Yes")=3,"Duplication: coordinate","Healthy on-ramp: keep")))</f>
        <v>Answer the 3 questions</v>
      </c>
      <c r="N49" s="9"/>
      <c r="O49" s="9"/>
    </row>
    <row r="50" customFormat="false" ht="23.85" hidden="false" customHeight="false" outlineLevel="0" collapsed="false">
      <c r="A50" s="22" t="str">
        <f aca="false">IF('2 Competency Spine'!A50="","",'2 Competency Spine'!A50)</f>
        <v>DAT-10</v>
      </c>
      <c r="B50" s="11" t="str">
        <f aca="false">IF('2 Competency Spine'!C50="","",'2 Competency Spine'!C50)</f>
        <v>Edge computing deployment</v>
      </c>
      <c r="C50" s="11" t="str">
        <f aca="false">IF('2 Competency Spine'!B50="","",'2 Competency Spine'!B50)</f>
        <v>Pathway</v>
      </c>
      <c r="D50" s="11" t="str">
        <f aca="false">IF('2 Competency Spine'!E50="","",'2 Competency Spine'!E50)</f>
        <v>Data, Cybersecurity &amp; Infrastructure</v>
      </c>
      <c r="E50" s="11" t="str">
        <f aca="false">IF('2 Competency Spine'!O50="","",'2 Competency Spine'!O50)</f>
        <v>CIS114DE / ITS110</v>
      </c>
      <c r="F50" s="19" t="n">
        <f aca="false">IF(TRIM(E50)="",0,LEN(E50)-LEN(SUBSTITUTE(E50,"/",""))+1)</f>
        <v>2</v>
      </c>
      <c r="G50" s="19" t="str">
        <f aca="false">IF(A50="","",IF(OR('2 Competency Spine'!M50&lt;&gt;"",'2 Competency Spine'!N50&lt;&gt;""),"Yes","No"))</f>
        <v>No</v>
      </c>
      <c r="H50" s="19" t="n">
        <f aca="false">'2 Competency Spine'!S50</f>
        <v>3</v>
      </c>
      <c r="I50" s="22" t="str">
        <f aca="false">IF(A50="","",IF(H50=0,"Gap: not taught anywhere",IF(F50=0,"Gap: no community college offering",IF(F50&gt;1,"Check: multiple CC courses",IF(G50="No","Covered: no high school on-ramp","Covered")))))</f>
        <v>Check: multiple CC courses</v>
      </c>
      <c r="J50" s="21"/>
      <c r="K50" s="21"/>
      <c r="L50" s="21"/>
      <c r="M50" s="22" t="str">
        <f aca="false">IF(LEFT(I50,5)&lt;&gt;"Check","",IF(COUNTIF(J50:L50,"Yes")+COUNTIF(J50:L50,"No")&lt;3,"Answer the 3 questions",IF(COUNTIF(J50:L50,"Yes")=3,"Duplication: coordinate","Healthy on-ramp: keep")))</f>
        <v>Answer the 3 questions</v>
      </c>
      <c r="N50" s="9"/>
      <c r="O50" s="9"/>
    </row>
    <row r="51" customFormat="false" ht="23.85" hidden="false" customHeight="false" outlineLevel="0" collapsed="false">
      <c r="A51" s="22" t="str">
        <f aca="false">IF('2 Competency Spine'!A51="","",'2 Competency Spine'!A51)</f>
        <v>DAT-11</v>
      </c>
      <c r="B51" s="11" t="str">
        <f aca="false">IF('2 Competency Spine'!C51="","",'2 Competency Spine'!C51)</f>
        <v>MES server integration</v>
      </c>
      <c r="C51" s="11" t="str">
        <f aca="false">IF('2 Competency Spine'!B51="","",'2 Competency Spine'!B51)</f>
        <v>Pathway</v>
      </c>
      <c r="D51" s="11" t="str">
        <f aca="false">IF('2 Competency Spine'!E51="","",'2 Competency Spine'!E51)</f>
        <v>Data, Cybersecurity &amp; Infrastructure</v>
      </c>
      <c r="E51" s="11" t="str">
        <f aca="false">IF('2 Competency Spine'!O51="","",'2 Competency Spine'!O51)</f>
        <v>CIS105 / BPC110</v>
      </c>
      <c r="F51" s="19" t="n">
        <f aca="false">IF(TRIM(E51)="",0,LEN(E51)-LEN(SUBSTITUTE(E51,"/",""))+1)</f>
        <v>2</v>
      </c>
      <c r="G51" s="19" t="str">
        <f aca="false">IF(A51="","",IF(OR('2 Competency Spine'!M51&lt;&gt;"",'2 Competency Spine'!N51&lt;&gt;""),"Yes","No"))</f>
        <v>No</v>
      </c>
      <c r="H51" s="19" t="n">
        <f aca="false">'2 Competency Spine'!S51</f>
        <v>3</v>
      </c>
      <c r="I51" s="22" t="str">
        <f aca="false">IF(A51="","",IF(H51=0,"Gap: not taught anywhere",IF(F51=0,"Gap: no community college offering",IF(F51&gt;1,"Check: multiple CC courses",IF(G51="No","Covered: no high school on-ramp","Covered")))))</f>
        <v>Check: multiple CC courses</v>
      </c>
      <c r="J51" s="21"/>
      <c r="K51" s="21"/>
      <c r="L51" s="21"/>
      <c r="M51" s="22" t="str">
        <f aca="false">IF(LEFT(I51,5)&lt;&gt;"Check","",IF(COUNTIF(J51:L51,"Yes")+COUNTIF(J51:L51,"No")&lt;3,"Answer the 3 questions",IF(COUNTIF(J51:L51,"Yes")=3,"Duplication: coordinate","Healthy on-ramp: keep")))</f>
        <v>Answer the 3 questions</v>
      </c>
      <c r="N51" s="9"/>
      <c r="O51" s="9"/>
    </row>
    <row r="52" customFormat="false" ht="23.85" hidden="false" customHeight="false" outlineLevel="0" collapsed="false">
      <c r="A52" s="22" t="str">
        <f aca="false">IF('2 Competency Spine'!A52="","",'2 Competency Spine'!A52)</f>
        <v>DAT-12</v>
      </c>
      <c r="B52" s="11" t="str">
        <f aca="false">IF('2 Competency Spine'!C52="","",'2 Competency Spine'!C52)</f>
        <v>Data pipeline monitoring</v>
      </c>
      <c r="C52" s="11" t="str">
        <f aca="false">IF('2 Competency Spine'!B52="","",'2 Competency Spine'!B52)</f>
        <v>Pathway</v>
      </c>
      <c r="D52" s="11" t="str">
        <f aca="false">IF('2 Competency Spine'!E52="","",'2 Competency Spine'!E52)</f>
        <v>Data, Cybersecurity &amp; Infrastructure</v>
      </c>
      <c r="E52" s="11" t="str">
        <f aca="false">IF('2 Competency Spine'!O52="","",'2 Competency Spine'!O52)</f>
        <v>CIS122 / BPC110</v>
      </c>
      <c r="F52" s="19" t="n">
        <f aca="false">IF(TRIM(E52)="",0,LEN(E52)-LEN(SUBSTITUTE(E52,"/",""))+1)</f>
        <v>2</v>
      </c>
      <c r="G52" s="19" t="str">
        <f aca="false">IF(A52="","",IF(OR('2 Competency Spine'!M52&lt;&gt;"",'2 Competency Spine'!N52&lt;&gt;""),"Yes","No"))</f>
        <v>No</v>
      </c>
      <c r="H52" s="19" t="n">
        <f aca="false">'2 Competency Spine'!S52</f>
        <v>3</v>
      </c>
      <c r="I52" s="22" t="str">
        <f aca="false">IF(A52="","",IF(H52=0,"Gap: not taught anywhere",IF(F52=0,"Gap: no community college offering",IF(F52&gt;1,"Check: multiple CC courses",IF(G52="No","Covered: no high school on-ramp","Covered")))))</f>
        <v>Check: multiple CC courses</v>
      </c>
      <c r="J52" s="21"/>
      <c r="K52" s="21"/>
      <c r="L52" s="21"/>
      <c r="M52" s="22" t="str">
        <f aca="false">IF(LEFT(I52,5)&lt;&gt;"Check","",IF(COUNTIF(J52:L52,"Yes")+COUNTIF(J52:L52,"No")&lt;3,"Answer the 3 questions",IF(COUNTIF(J52:L52,"Yes")=3,"Duplication: coordinate","Healthy on-ramp: keep")))</f>
        <v>Answer the 3 questions</v>
      </c>
      <c r="N52" s="9"/>
      <c r="O52" s="9"/>
    </row>
    <row r="53" customFormat="false" ht="23.85" hidden="false" customHeight="false" outlineLevel="0" collapsed="false">
      <c r="A53" s="22" t="str">
        <f aca="false">IF('2 Competency Spine'!A53="","",'2 Competency Spine'!A53)</f>
        <v>DAT-13</v>
      </c>
      <c r="B53" s="11" t="str">
        <f aca="false">IF('2 Competency Spine'!C53="","",'2 Competency Spine'!C53)</f>
        <v>Process telemetry analysis</v>
      </c>
      <c r="C53" s="11" t="str">
        <f aca="false">IF('2 Competency Spine'!B53="","",'2 Competency Spine'!B53)</f>
        <v>Pathway</v>
      </c>
      <c r="D53" s="11" t="str">
        <f aca="false">IF('2 Competency Spine'!E53="","",'2 Competency Spine'!E53)</f>
        <v>Data, Cybersecurity &amp; Infrastructure</v>
      </c>
      <c r="E53" s="11" t="str">
        <f aca="false">IF('2 Competency Spine'!O53="","",'2 Competency Spine'!O53)</f>
        <v>DAT110 / MET210</v>
      </c>
      <c r="F53" s="19" t="n">
        <f aca="false">IF(TRIM(E53)="",0,LEN(E53)-LEN(SUBSTITUTE(E53,"/",""))+1)</f>
        <v>2</v>
      </c>
      <c r="G53" s="19" t="str">
        <f aca="false">IF(A53="","",IF(OR('2 Competency Spine'!M53&lt;&gt;"",'2 Competency Spine'!N53&lt;&gt;""),"Yes","No"))</f>
        <v>No</v>
      </c>
      <c r="H53" s="19" t="n">
        <f aca="false">'2 Competency Spine'!S53</f>
        <v>3</v>
      </c>
      <c r="I53" s="22" t="str">
        <f aca="false">IF(A53="","",IF(H53=0,"Gap: not taught anywhere",IF(F53=0,"Gap: no community college offering",IF(F53&gt;1,"Check: multiple CC courses",IF(G53="No","Covered: no high school on-ramp","Covered")))))</f>
        <v>Check: multiple CC courses</v>
      </c>
      <c r="J53" s="21"/>
      <c r="K53" s="21"/>
      <c r="L53" s="21"/>
      <c r="M53" s="22" t="str">
        <f aca="false">IF(LEFT(I53,5)&lt;&gt;"Check","",IF(COUNTIF(J53:L53,"Yes")+COUNTIF(J53:L53,"No")&lt;3,"Answer the 3 questions",IF(COUNTIF(J53:L53,"Yes")=3,"Duplication: coordinate","Healthy on-ramp: keep")))</f>
        <v>Answer the 3 questions</v>
      </c>
      <c r="N53" s="9"/>
      <c r="O53" s="9"/>
    </row>
    <row r="54" customFormat="false" ht="23.85" hidden="false" customHeight="false" outlineLevel="0" collapsed="false">
      <c r="A54" s="22" t="str">
        <f aca="false">IF('2 Competency Spine'!A54="","",'2 Competency Spine'!A54)</f>
        <v>DAT-14</v>
      </c>
      <c r="B54" s="11" t="str">
        <f aca="false">IF('2 Competency Spine'!C54="","",'2 Competency Spine'!C54)</f>
        <v>OT network topology</v>
      </c>
      <c r="C54" s="11" t="str">
        <f aca="false">IF('2 Competency Spine'!B54="","",'2 Competency Spine'!B54)</f>
        <v>Pathway</v>
      </c>
      <c r="D54" s="11" t="str">
        <f aca="false">IF('2 Competency Spine'!E54="","",'2 Competency Spine'!E54)</f>
        <v>Data, Cybersecurity &amp; Infrastructure</v>
      </c>
      <c r="E54" s="11" t="str">
        <f aca="false">IF('2 Competency Spine'!O54="","",'2 Competency Spine'!O54)</f>
        <v>CIS114DE / ITS110</v>
      </c>
      <c r="F54" s="19" t="n">
        <f aca="false">IF(TRIM(E54)="",0,LEN(E54)-LEN(SUBSTITUTE(E54,"/",""))+1)</f>
        <v>2</v>
      </c>
      <c r="G54" s="19" t="str">
        <f aca="false">IF(A54="","",IF(OR('2 Competency Spine'!M54&lt;&gt;"",'2 Competency Spine'!N54&lt;&gt;""),"Yes","No"))</f>
        <v>No</v>
      </c>
      <c r="H54" s="19" t="n">
        <f aca="false">'2 Competency Spine'!S54</f>
        <v>3</v>
      </c>
      <c r="I54" s="22" t="str">
        <f aca="false">IF(A54="","",IF(H54=0,"Gap: not taught anywhere",IF(F54=0,"Gap: no community college offering",IF(F54&gt;1,"Check: multiple CC courses",IF(G54="No","Covered: no high school on-ramp","Covered")))))</f>
        <v>Check: multiple CC courses</v>
      </c>
      <c r="J54" s="21"/>
      <c r="K54" s="21"/>
      <c r="L54" s="21"/>
      <c r="M54" s="22" t="str">
        <f aca="false">IF(LEFT(I54,5)&lt;&gt;"Check","",IF(COUNTIF(J54:L54,"Yes")+COUNTIF(J54:L54,"No")&lt;3,"Answer the 3 questions",IF(COUNTIF(J54:L54,"Yes")=3,"Duplication: coordinate","Healthy on-ramp: keep")))</f>
        <v>Answer the 3 questions</v>
      </c>
      <c r="N54" s="9"/>
      <c r="O54" s="9"/>
    </row>
    <row r="55" customFormat="false" ht="23.85" hidden="false" customHeight="false" outlineLevel="0" collapsed="false">
      <c r="A55" s="22" t="str">
        <f aca="false">IF('2 Competency Spine'!A55="","",'2 Competency Spine'!A55)</f>
        <v>EQP-01</v>
      </c>
      <c r="B55" s="11" t="str">
        <f aca="false">IF('2 Competency Spine'!C55="","",'2 Competency Spine'!C55)</f>
        <v>Use diagnostics software</v>
      </c>
      <c r="C55" s="11" t="str">
        <f aca="false">IF('2 Competency Spine'!B55="","",'2 Competency Spine'!B55)</f>
        <v>Pathway</v>
      </c>
      <c r="D55" s="11" t="str">
        <f aca="false">IF('2 Competency Spine'!E55="","",'2 Competency Spine'!E55)</f>
        <v>Equipment &amp; Systems Maintenance</v>
      </c>
      <c r="E55" s="11" t="str">
        <f aca="false">IF('2 Competency Spine'!O55="","",'2 Competency Spine'!O55)</f>
        <v>AIT210</v>
      </c>
      <c r="F55" s="19" t="n">
        <f aca="false">IF(TRIM(E55)="",0,LEN(E55)-LEN(SUBSTITUTE(E55,"/",""))+1)</f>
        <v>1</v>
      </c>
      <c r="G55" s="19" t="str">
        <f aca="false">IF(A55="","",IF(OR('2 Competency Spine'!M55&lt;&gt;"",'2 Competency Spine'!N55&lt;&gt;""),"Yes","No"))</f>
        <v>Yes</v>
      </c>
      <c r="H55" s="19" t="n">
        <f aca="false">'2 Competency Spine'!S55</f>
        <v>4</v>
      </c>
      <c r="I55" s="22" t="str">
        <f aca="false">IF(A55="","",IF(H55=0,"Gap: not taught anywhere",IF(F55=0,"Gap: no community college offering",IF(F55&gt;1,"Check: multiple CC courses",IF(G55="No","Covered: no high school on-ramp","Covered")))))</f>
        <v>Covered</v>
      </c>
      <c r="J55" s="21"/>
      <c r="K55" s="21"/>
      <c r="L55" s="21"/>
      <c r="M55" s="22" t="str">
        <f aca="false">IF(LEFT(I55,5)&lt;&gt;"Check","",IF(COUNTIF(J55:L55,"Yes")+COUNTIF(J55:L55,"No")&lt;3,"Answer the 3 questions",IF(COUNTIF(J55:L55,"Yes")=3,"Duplication: coordinate","Healthy on-ramp: keep")))</f>
        <v/>
      </c>
      <c r="N55" s="9"/>
      <c r="O55" s="9"/>
    </row>
    <row r="56" customFormat="false" ht="23.85" hidden="false" customHeight="false" outlineLevel="0" collapsed="false">
      <c r="A56" s="22" t="str">
        <f aca="false">IF('2 Competency Spine'!A56="","",'2 Competency Spine'!A56)</f>
        <v>EQP-02</v>
      </c>
      <c r="B56" s="11" t="str">
        <f aca="false">IF('2 Competency Spine'!C56="","",'2 Competency Spine'!C56)</f>
        <v>Apply LOTO on equipment</v>
      </c>
      <c r="C56" s="11" t="str">
        <f aca="false">IF('2 Competency Spine'!B56="","",'2 Competency Spine'!B56)</f>
        <v>Pathway</v>
      </c>
      <c r="D56" s="11" t="str">
        <f aca="false">IF('2 Competency Spine'!E56="","",'2 Competency Spine'!E56)</f>
        <v>Equipment &amp; Systems Maintenance</v>
      </c>
      <c r="E56" s="11" t="str">
        <f aca="false">IF('2 Competency Spine'!O56="","",'2 Competency Spine'!O56)</f>
        <v>AIT100</v>
      </c>
      <c r="F56" s="19" t="n">
        <f aca="false">IF(TRIM(E56)="",0,LEN(E56)-LEN(SUBSTITUTE(E56,"/",""))+1)</f>
        <v>1</v>
      </c>
      <c r="G56" s="19" t="str">
        <f aca="false">IF(A56="","",IF(OR('2 Competency Spine'!M56&lt;&gt;"",'2 Competency Spine'!N56&lt;&gt;""),"Yes","No"))</f>
        <v>Yes</v>
      </c>
      <c r="H56" s="19" t="n">
        <f aca="false">'2 Competency Spine'!S56</f>
        <v>4</v>
      </c>
      <c r="I56" s="22" t="str">
        <f aca="false">IF(A56="","",IF(H56=0,"Gap: not taught anywhere",IF(F56=0,"Gap: no community college offering",IF(F56&gt;1,"Check: multiple CC courses",IF(G56="No","Covered: no high school on-ramp","Covered")))))</f>
        <v>Covered</v>
      </c>
      <c r="J56" s="21"/>
      <c r="K56" s="21"/>
      <c r="L56" s="21"/>
      <c r="M56" s="22" t="str">
        <f aca="false">IF(LEFT(I56,5)&lt;&gt;"Check","",IF(COUNTIF(J56:L56,"Yes")+COUNTIF(J56:L56,"No")&lt;3,"Answer the 3 questions",IF(COUNTIF(J56:L56,"Yes")=3,"Duplication: coordinate","Healthy on-ramp: keep")))</f>
        <v/>
      </c>
      <c r="N56" s="9"/>
      <c r="O56" s="9"/>
    </row>
    <row r="57" customFormat="false" ht="23.85" hidden="false" customHeight="false" outlineLevel="0" collapsed="false">
      <c r="A57" s="22" t="str">
        <f aca="false">IF('2 Competency Spine'!A57="","",'2 Competency Spine'!A57)</f>
        <v>EQP-03</v>
      </c>
      <c r="B57" s="11" t="str">
        <f aca="false">IF('2 Competency Spine'!C57="","",'2 Competency Spine'!C57)</f>
        <v>Service pneumatic &amp; hydraulic systems</v>
      </c>
      <c r="C57" s="11" t="str">
        <f aca="false">IF('2 Competency Spine'!B57="","",'2 Competency Spine'!B57)</f>
        <v>Pathway</v>
      </c>
      <c r="D57" s="11" t="str">
        <f aca="false">IF('2 Competency Spine'!E57="","",'2 Competency Spine'!E57)</f>
        <v>Equipment &amp; Systems Maintenance</v>
      </c>
      <c r="E57" s="11" t="str">
        <f aca="false">IF('2 Competency Spine'!O57="","",'2 Competency Spine'!O57)</f>
        <v>AIT115 / AIT120</v>
      </c>
      <c r="F57" s="19" t="n">
        <f aca="false">IF(TRIM(E57)="",0,LEN(E57)-LEN(SUBSTITUTE(E57,"/",""))+1)</f>
        <v>2</v>
      </c>
      <c r="G57" s="19" t="str">
        <f aca="false">IF(A57="","",IF(OR('2 Competency Spine'!M57&lt;&gt;"",'2 Competency Spine'!N57&lt;&gt;""),"Yes","No"))</f>
        <v>Yes</v>
      </c>
      <c r="H57" s="19" t="n">
        <f aca="false">'2 Competency Spine'!S57</f>
        <v>4</v>
      </c>
      <c r="I57" s="22" t="str">
        <f aca="false">IF(A57="","",IF(H57=0,"Gap: not taught anywhere",IF(F57=0,"Gap: no community college offering",IF(F57&gt;1,"Check: multiple CC courses",IF(G57="No","Covered: no high school on-ramp","Covered")))))</f>
        <v>Check: multiple CC courses</v>
      </c>
      <c r="J57" s="21"/>
      <c r="K57" s="21"/>
      <c r="L57" s="21"/>
      <c r="M57" s="22" t="str">
        <f aca="false">IF(LEFT(I57,5)&lt;&gt;"Check","",IF(COUNTIF(J57:L57,"Yes")+COUNTIF(J57:L57,"No")&lt;3,"Answer the 3 questions",IF(COUNTIF(J57:L57,"Yes")=3,"Duplication: coordinate","Healthy on-ramp: keep")))</f>
        <v>Answer the 3 questions</v>
      </c>
      <c r="N57" s="9"/>
      <c r="O57" s="9"/>
    </row>
    <row r="58" customFormat="false" ht="23.85" hidden="false" customHeight="false" outlineLevel="0" collapsed="false">
      <c r="A58" s="22" t="str">
        <f aca="false">IF('2 Competency Spine'!A58="","",'2 Competency Spine'!A58)</f>
        <v>EQP-04</v>
      </c>
      <c r="B58" s="11" t="str">
        <f aca="false">IF('2 Competency Spine'!C58="","",'2 Competency Spine'!C58)</f>
        <v>Mechanical drive troubleshooting</v>
      </c>
      <c r="C58" s="11" t="str">
        <f aca="false">IF('2 Competency Spine'!B58="","",'2 Competency Spine'!B58)</f>
        <v>Pathway</v>
      </c>
      <c r="D58" s="11" t="str">
        <f aca="false">IF('2 Competency Spine'!E58="","",'2 Competency Spine'!E58)</f>
        <v>Equipment &amp; Systems Maintenance</v>
      </c>
      <c r="E58" s="11" t="str">
        <f aca="false">IF('2 Competency Spine'!O58="","",'2 Competency Spine'!O58)</f>
        <v>MET150 / MET215</v>
      </c>
      <c r="F58" s="19" t="n">
        <f aca="false">IF(TRIM(E58)="",0,LEN(E58)-LEN(SUBSTITUTE(E58,"/",""))+1)</f>
        <v>2</v>
      </c>
      <c r="G58" s="19" t="str">
        <f aca="false">IF(A58="","",IF(OR('2 Competency Spine'!M58&lt;&gt;"",'2 Competency Spine'!N58&lt;&gt;""),"Yes","No"))</f>
        <v>No</v>
      </c>
      <c r="H58" s="19" t="n">
        <f aca="false">'2 Competency Spine'!S58</f>
        <v>3</v>
      </c>
      <c r="I58" s="22" t="str">
        <f aca="false">IF(A58="","",IF(H58=0,"Gap: not taught anywhere",IF(F58=0,"Gap: no community college offering",IF(F58&gt;1,"Check: multiple CC courses",IF(G58="No","Covered: no high school on-ramp","Covered")))))</f>
        <v>Check: multiple CC courses</v>
      </c>
      <c r="J58" s="21"/>
      <c r="K58" s="21"/>
      <c r="L58" s="21"/>
      <c r="M58" s="22" t="str">
        <f aca="false">IF(LEFT(I58,5)&lt;&gt;"Check","",IF(COUNTIF(J58:L58,"Yes")+COUNTIF(J58:L58,"No")&lt;3,"Answer the 3 questions",IF(COUNTIF(J58:L58,"Yes")=3,"Duplication: coordinate","Healthy on-ramp: keep")))</f>
        <v>Answer the 3 questions</v>
      </c>
      <c r="N58" s="9"/>
      <c r="O58" s="9"/>
    </row>
    <row r="59" customFormat="false" ht="23.85" hidden="false" customHeight="false" outlineLevel="0" collapsed="false">
      <c r="A59" s="22" t="str">
        <f aca="false">IF('2 Competency Spine'!A59="","",'2 Competency Spine'!A59)</f>
        <v>EQP-05</v>
      </c>
      <c r="B59" s="11" t="str">
        <f aca="false">IF('2 Competency Spine'!C59="","",'2 Competency Spine'!C59)</f>
        <v>Vacuum pressure physics</v>
      </c>
      <c r="C59" s="11" t="str">
        <f aca="false">IF('2 Competency Spine'!B59="","",'2 Competency Spine'!B59)</f>
        <v>Pathway</v>
      </c>
      <c r="D59" s="11" t="str">
        <f aca="false">IF('2 Competency Spine'!E59="","",'2 Competency Spine'!E59)</f>
        <v>Equipment &amp; Systems Maintenance</v>
      </c>
      <c r="E59" s="11" t="str">
        <f aca="false">IF('2 Competency Spine'!O59="","",'2 Competency Spine'!O59)</f>
        <v>SEM101 / MET215</v>
      </c>
      <c r="F59" s="19" t="n">
        <f aca="false">IF(TRIM(E59)="",0,LEN(E59)-LEN(SUBSTITUTE(E59,"/",""))+1)</f>
        <v>2</v>
      </c>
      <c r="G59" s="19" t="str">
        <f aca="false">IF(A59="","",IF(OR('2 Competency Spine'!M59&lt;&gt;"",'2 Competency Spine'!N59&lt;&gt;""),"Yes","No"))</f>
        <v>No</v>
      </c>
      <c r="H59" s="19" t="n">
        <f aca="false">'2 Competency Spine'!S59</f>
        <v>3</v>
      </c>
      <c r="I59" s="22" t="str">
        <f aca="false">IF(A59="","",IF(H59=0,"Gap: not taught anywhere",IF(F59=0,"Gap: no community college offering",IF(F59&gt;1,"Check: multiple CC courses",IF(G59="No","Covered: no high school on-ramp","Covered")))))</f>
        <v>Check: multiple CC courses</v>
      </c>
      <c r="J59" s="21"/>
      <c r="K59" s="21"/>
      <c r="L59" s="21"/>
      <c r="M59" s="22" t="str">
        <f aca="false">IF(LEFT(I59,5)&lt;&gt;"Check","",IF(COUNTIF(J59:L59,"Yes")+COUNTIF(J59:L59,"No")&lt;3,"Answer the 3 questions",IF(COUNTIF(J59:L59,"Yes")=3,"Duplication: coordinate","Healthy on-ramp: keep")))</f>
        <v>Answer the 3 questions</v>
      </c>
      <c r="N59" s="9"/>
      <c r="O59" s="9"/>
    </row>
    <row r="60" customFormat="false" ht="23.85" hidden="false" customHeight="false" outlineLevel="0" collapsed="false">
      <c r="A60" s="22" t="str">
        <f aca="false">IF('2 Competency Spine'!A60="","",'2 Competency Spine'!A60)</f>
        <v>EQP-06</v>
      </c>
      <c r="B60" s="11" t="str">
        <f aca="false">IF('2 Competency Spine'!C60="","",'2 Competency Spine'!C60)</f>
        <v>Sensor diagnostic log interpretation</v>
      </c>
      <c r="C60" s="11" t="str">
        <f aca="false">IF('2 Competency Spine'!B60="","",'2 Competency Spine'!B60)</f>
        <v>Pathway</v>
      </c>
      <c r="D60" s="11" t="str">
        <f aca="false">IF('2 Competency Spine'!E60="","",'2 Competency Spine'!E60)</f>
        <v>Equipment &amp; Systems Maintenance</v>
      </c>
      <c r="E60" s="11" t="str">
        <f aca="false">IF('2 Competency Spine'!O60="","",'2 Competency Spine'!O60)</f>
        <v>MET215 / ELE211</v>
      </c>
      <c r="F60" s="19" t="n">
        <f aca="false">IF(TRIM(E60)="",0,LEN(E60)-LEN(SUBSTITUTE(E60,"/",""))+1)</f>
        <v>2</v>
      </c>
      <c r="G60" s="19" t="str">
        <f aca="false">IF(A60="","",IF(OR('2 Competency Spine'!M60&lt;&gt;"",'2 Competency Spine'!N60&lt;&gt;""),"Yes","No"))</f>
        <v>No</v>
      </c>
      <c r="H60" s="19" t="n">
        <f aca="false">'2 Competency Spine'!S60</f>
        <v>3</v>
      </c>
      <c r="I60" s="22" t="str">
        <f aca="false">IF(A60="","",IF(H60=0,"Gap: not taught anywhere",IF(F60=0,"Gap: no community college offering",IF(F60&gt;1,"Check: multiple CC courses",IF(G60="No","Covered: no high school on-ramp","Covered")))))</f>
        <v>Check: multiple CC courses</v>
      </c>
      <c r="J60" s="21"/>
      <c r="K60" s="21"/>
      <c r="L60" s="21"/>
      <c r="M60" s="22" t="str">
        <f aca="false">IF(LEFT(I60,5)&lt;&gt;"Check","",IF(COUNTIF(J60:L60,"Yes")+COUNTIF(J60:L60,"No")&lt;3,"Answer the 3 questions",IF(COUNTIF(J60:L60,"Yes")=3,"Duplication: coordinate","Healthy on-ramp: keep")))</f>
        <v>Answer the 3 questions</v>
      </c>
      <c r="N60" s="9"/>
      <c r="O60" s="9"/>
    </row>
    <row r="61" customFormat="false" ht="23.85" hidden="false" customHeight="false" outlineLevel="0" collapsed="false">
      <c r="A61" s="22" t="str">
        <f aca="false">IF('2 Competency Spine'!A61="","",'2 Competency Spine'!A61)</f>
        <v>EQP-07</v>
      </c>
      <c r="B61" s="11" t="str">
        <f aca="false">IF('2 Competency Spine'!C61="","",'2 Competency Spine'!C61)</f>
        <v>Predictive maintenance software</v>
      </c>
      <c r="C61" s="11" t="str">
        <f aca="false">IF('2 Competency Spine'!B61="","",'2 Competency Spine'!B61)</f>
        <v>Pathway</v>
      </c>
      <c r="D61" s="11" t="str">
        <f aca="false">IF('2 Competency Spine'!E61="","",'2 Competency Spine'!E61)</f>
        <v>Equipment &amp; Systems Maintenance</v>
      </c>
      <c r="E61" s="11" t="str">
        <f aca="false">IF('2 Competency Spine'!O61="","",'2 Competency Spine'!O61)</f>
        <v>MET215 / MET210</v>
      </c>
      <c r="F61" s="19" t="n">
        <f aca="false">IF(TRIM(E61)="",0,LEN(E61)-LEN(SUBSTITUTE(E61,"/",""))+1)</f>
        <v>2</v>
      </c>
      <c r="G61" s="19" t="str">
        <f aca="false">IF(A61="","",IF(OR('2 Competency Spine'!M61&lt;&gt;"",'2 Competency Spine'!N61&lt;&gt;""),"Yes","No"))</f>
        <v>No</v>
      </c>
      <c r="H61" s="19" t="n">
        <f aca="false">'2 Competency Spine'!S61</f>
        <v>3</v>
      </c>
      <c r="I61" s="22" t="str">
        <f aca="false">IF(A61="","",IF(H61=0,"Gap: not taught anywhere",IF(F61=0,"Gap: no community college offering",IF(F61&gt;1,"Check: multiple CC courses",IF(G61="No","Covered: no high school on-ramp","Covered")))))</f>
        <v>Check: multiple CC courses</v>
      </c>
      <c r="J61" s="21"/>
      <c r="K61" s="21"/>
      <c r="L61" s="21"/>
      <c r="M61" s="22" t="str">
        <f aca="false">IF(LEFT(I61,5)&lt;&gt;"Check","",IF(COUNTIF(J61:L61,"Yes")+COUNTIF(J61:L61,"No")&lt;3,"Answer the 3 questions",IF(COUNTIF(J61:L61,"Yes")=3,"Duplication: coordinate","Healthy on-ramp: keep")))</f>
        <v>Answer the 3 questions</v>
      </c>
      <c r="N61" s="9"/>
      <c r="O61" s="9"/>
    </row>
    <row r="62" customFormat="false" ht="23.85" hidden="false" customHeight="false" outlineLevel="0" collapsed="false">
      <c r="A62" s="22" t="str">
        <f aca="false">IF('2 Competency Spine'!A62="","",'2 Competency Spine'!A62)</f>
        <v>EQP-08</v>
      </c>
      <c r="B62" s="11" t="str">
        <f aca="false">IF('2 Competency Spine'!C62="","",'2 Competency Spine'!C62)</f>
        <v>Chemical delivery system safety</v>
      </c>
      <c r="C62" s="11" t="str">
        <f aca="false">IF('2 Competency Spine'!B62="","",'2 Competency Spine'!B62)</f>
        <v>Pathway</v>
      </c>
      <c r="D62" s="11" t="str">
        <f aca="false">IF('2 Competency Spine'!E62="","",'2 Competency Spine'!E62)</f>
        <v>Equipment &amp; Systems Maintenance</v>
      </c>
      <c r="E62" s="11" t="str">
        <f aca="false">IF('2 Competency Spine'!O62="","",'2 Competency Spine'!O62)</f>
        <v>SEM101 / MET101</v>
      </c>
      <c r="F62" s="19" t="n">
        <f aca="false">IF(TRIM(E62)="",0,LEN(E62)-LEN(SUBSTITUTE(E62,"/",""))+1)</f>
        <v>2</v>
      </c>
      <c r="G62" s="19" t="str">
        <f aca="false">IF(A62="","",IF(OR('2 Competency Spine'!M62&lt;&gt;"",'2 Competency Spine'!N62&lt;&gt;""),"Yes","No"))</f>
        <v>No</v>
      </c>
      <c r="H62" s="19" t="n">
        <f aca="false">'2 Competency Spine'!S62</f>
        <v>3</v>
      </c>
      <c r="I62" s="22" t="str">
        <f aca="false">IF(A62="","",IF(H62=0,"Gap: not taught anywhere",IF(F62=0,"Gap: no community college offering",IF(F62&gt;1,"Check: multiple CC courses",IF(G62="No","Covered: no high school on-ramp","Covered")))))</f>
        <v>Check: multiple CC courses</v>
      </c>
      <c r="J62" s="21"/>
      <c r="K62" s="21"/>
      <c r="L62" s="21"/>
      <c r="M62" s="22" t="str">
        <f aca="false">IF(LEFT(I62,5)&lt;&gt;"Check","",IF(COUNTIF(J62:L62,"Yes")+COUNTIF(J62:L62,"No")&lt;3,"Answer the 3 questions",IF(COUNTIF(J62:L62,"Yes")=3,"Duplication: coordinate","Healthy on-ramp: keep")))</f>
        <v>Answer the 3 questions</v>
      </c>
      <c r="N62" s="9"/>
      <c r="O62" s="9"/>
    </row>
    <row r="63" customFormat="false" ht="23.85" hidden="false" customHeight="false" outlineLevel="0" collapsed="false">
      <c r="A63" s="22" t="str">
        <f aca="false">IF('2 Competency Spine'!A63="","",'2 Competency Spine'!A63)</f>
        <v>EQP-09</v>
      </c>
      <c r="B63" s="11" t="str">
        <f aca="false">IF('2 Competency Spine'!C63="","",'2 Competency Spine'!C63)</f>
        <v>High-voltage isolation protocol</v>
      </c>
      <c r="C63" s="11" t="str">
        <f aca="false">IF('2 Competency Spine'!B63="","",'2 Competency Spine'!B63)</f>
        <v>Pathway</v>
      </c>
      <c r="D63" s="11" t="str">
        <f aca="false">IF('2 Competency Spine'!E63="","",'2 Competency Spine'!E63)</f>
        <v>Equipment &amp; Systems Maintenance</v>
      </c>
      <c r="E63" s="11" t="str">
        <f aca="false">IF('2 Competency Spine'!O63="","",'2 Competency Spine'!O63)</f>
        <v>ELC115 / MET101</v>
      </c>
      <c r="F63" s="19" t="n">
        <f aca="false">IF(TRIM(E63)="",0,LEN(E63)-LEN(SUBSTITUTE(E63,"/",""))+1)</f>
        <v>2</v>
      </c>
      <c r="G63" s="19" t="str">
        <f aca="false">IF(A63="","",IF(OR('2 Competency Spine'!M63&lt;&gt;"",'2 Competency Spine'!N63&lt;&gt;""),"Yes","No"))</f>
        <v>No</v>
      </c>
      <c r="H63" s="19" t="n">
        <f aca="false">'2 Competency Spine'!S63</f>
        <v>3</v>
      </c>
      <c r="I63" s="22" t="str">
        <f aca="false">IF(A63="","",IF(H63=0,"Gap: not taught anywhere",IF(F63=0,"Gap: no community college offering",IF(F63&gt;1,"Check: multiple CC courses",IF(G63="No","Covered: no high school on-ramp","Covered")))))</f>
        <v>Check: multiple CC courses</v>
      </c>
      <c r="J63" s="21"/>
      <c r="K63" s="21"/>
      <c r="L63" s="21"/>
      <c r="M63" s="22" t="str">
        <f aca="false">IF(LEFT(I63,5)&lt;&gt;"Check","",IF(COUNTIF(J63:L63,"Yes")+COUNTIF(J63:L63,"No")&lt;3,"Answer the 3 questions",IF(COUNTIF(J63:L63,"Yes")=3,"Duplication: coordinate","Healthy on-ramp: keep")))</f>
        <v>Answer the 3 questions</v>
      </c>
      <c r="N63" s="9"/>
      <c r="O63" s="9"/>
    </row>
    <row r="64" customFormat="false" ht="23.85" hidden="false" customHeight="false" outlineLevel="0" collapsed="false">
      <c r="A64" s="22" t="str">
        <f aca="false">IF('2 Competency Spine'!A64="","",'2 Competency Spine'!A64)</f>
        <v>EQP-10</v>
      </c>
      <c r="B64" s="11" t="str">
        <f aca="false">IF('2 Competency Spine'!C64="","",'2 Competency Spine'!C64)</f>
        <v>Plasma etch system repair</v>
      </c>
      <c r="C64" s="11" t="str">
        <f aca="false">IF('2 Competency Spine'!B64="","",'2 Competency Spine'!B64)</f>
        <v>Pathway</v>
      </c>
      <c r="D64" s="11" t="str">
        <f aca="false">IF('2 Competency Spine'!E64="","",'2 Competency Spine'!E64)</f>
        <v>Equipment &amp; Systems Maintenance</v>
      </c>
      <c r="E64" s="11" t="str">
        <f aca="false">IF('2 Competency Spine'!O64="","",'2 Competency Spine'!O64)</f>
        <v>SEM201 / MET215</v>
      </c>
      <c r="F64" s="19" t="n">
        <f aca="false">IF(TRIM(E64)="",0,LEN(E64)-LEN(SUBSTITUTE(E64,"/",""))+1)</f>
        <v>2</v>
      </c>
      <c r="G64" s="19" t="str">
        <f aca="false">IF(A64="","",IF(OR('2 Competency Spine'!M64&lt;&gt;"",'2 Competency Spine'!N64&lt;&gt;""),"Yes","No"))</f>
        <v>No</v>
      </c>
      <c r="H64" s="19" t="n">
        <f aca="false">'2 Competency Spine'!S64</f>
        <v>3</v>
      </c>
      <c r="I64" s="22" t="str">
        <f aca="false">IF(A64="","",IF(H64=0,"Gap: not taught anywhere",IF(F64=0,"Gap: no community college offering",IF(F64&gt;1,"Check: multiple CC courses",IF(G64="No","Covered: no high school on-ramp","Covered")))))</f>
        <v>Check: multiple CC courses</v>
      </c>
      <c r="J64" s="21"/>
      <c r="K64" s="21"/>
      <c r="L64" s="21"/>
      <c r="M64" s="22" t="str">
        <f aca="false">IF(LEFT(I64,5)&lt;&gt;"Check","",IF(COUNTIF(J64:L64,"Yes")+COUNTIF(J64:L64,"No")&lt;3,"Answer the 3 questions",IF(COUNTIF(J64:L64,"Yes")=3,"Duplication: coordinate","Healthy on-ramp: keep")))</f>
        <v>Answer the 3 questions</v>
      </c>
      <c r="N64" s="9"/>
      <c r="O64" s="9"/>
    </row>
    <row r="65" customFormat="false" ht="23.85" hidden="false" customHeight="false" outlineLevel="0" collapsed="false">
      <c r="A65" s="22" t="str">
        <f aca="false">IF('2 Competency Spine'!A65="","",'2 Competency Spine'!A65)</f>
        <v>EQP-11</v>
      </c>
      <c r="B65" s="11" t="str">
        <f aca="false">IF('2 Competency Spine'!C65="","",'2 Competency Spine'!C65)</f>
        <v>Robotic arm calibration</v>
      </c>
      <c r="C65" s="11" t="str">
        <f aca="false">IF('2 Competency Spine'!B65="","",'2 Competency Spine'!B65)</f>
        <v>Pathway</v>
      </c>
      <c r="D65" s="11" t="str">
        <f aca="false">IF('2 Competency Spine'!E65="","",'2 Competency Spine'!E65)</f>
        <v>Equipment &amp; Systems Maintenance</v>
      </c>
      <c r="E65" s="11" t="str">
        <f aca="false">IF('2 Competency Spine'!O65="","",'2 Competency Spine'!O65)</f>
        <v>MET180 / MET220</v>
      </c>
      <c r="F65" s="19" t="n">
        <f aca="false">IF(TRIM(E65)="",0,LEN(E65)-LEN(SUBSTITUTE(E65,"/",""))+1)</f>
        <v>2</v>
      </c>
      <c r="G65" s="19" t="str">
        <f aca="false">IF(A65="","",IF(OR('2 Competency Spine'!M65&lt;&gt;"",'2 Competency Spine'!N65&lt;&gt;""),"Yes","No"))</f>
        <v>No</v>
      </c>
      <c r="H65" s="19" t="n">
        <f aca="false">'2 Competency Spine'!S65</f>
        <v>3</v>
      </c>
      <c r="I65" s="22" t="str">
        <f aca="false">IF(A65="","",IF(H65=0,"Gap: not taught anywhere",IF(F65=0,"Gap: no community college offering",IF(F65&gt;1,"Check: multiple CC courses",IF(G65="No","Covered: no high school on-ramp","Covered")))))</f>
        <v>Check: multiple CC courses</v>
      </c>
      <c r="J65" s="21"/>
      <c r="K65" s="21"/>
      <c r="L65" s="21"/>
      <c r="M65" s="22" t="str">
        <f aca="false">IF(LEFT(I65,5)&lt;&gt;"Check","",IF(COUNTIF(J65:L65,"Yes")+COUNTIF(J65:L65,"No")&lt;3,"Answer the 3 questions",IF(COUNTIF(J65:L65,"Yes")=3,"Duplication: coordinate","Healthy on-ramp: keep")))</f>
        <v>Answer the 3 questions</v>
      </c>
      <c r="N65" s="9"/>
      <c r="O65" s="9"/>
    </row>
    <row r="66" customFormat="false" ht="23.85" hidden="false" customHeight="false" outlineLevel="0" collapsed="false">
      <c r="A66" s="22" t="str">
        <f aca="false">IF('2 Competency Spine'!A66="","",'2 Competency Spine'!A66)</f>
        <v>EQP-12</v>
      </c>
      <c r="B66" s="11" t="str">
        <f aca="false">IF('2 Competency Spine'!C66="","",'2 Competency Spine'!C66)</f>
        <v>Vacuum pump overhaul</v>
      </c>
      <c r="C66" s="11" t="str">
        <f aca="false">IF('2 Competency Spine'!B66="","",'2 Competency Spine'!B66)</f>
        <v>Pathway</v>
      </c>
      <c r="D66" s="11" t="str">
        <f aca="false">IF('2 Competency Spine'!E66="","",'2 Competency Spine'!E66)</f>
        <v>Equipment &amp; Systems Maintenance</v>
      </c>
      <c r="E66" s="11" t="str">
        <f aca="false">IF('2 Competency Spine'!O66="","",'2 Competency Spine'!O66)</f>
        <v>MET215</v>
      </c>
      <c r="F66" s="19" t="n">
        <f aca="false">IF(TRIM(E66)="",0,LEN(E66)-LEN(SUBSTITUTE(E66,"/",""))+1)</f>
        <v>1</v>
      </c>
      <c r="G66" s="19" t="str">
        <f aca="false">IF(A66="","",IF(OR('2 Competency Spine'!M66&lt;&gt;"",'2 Competency Spine'!N66&lt;&gt;""),"Yes","No"))</f>
        <v>No</v>
      </c>
      <c r="H66" s="19" t="n">
        <f aca="false">'2 Competency Spine'!S66</f>
        <v>3</v>
      </c>
      <c r="I66" s="22" t="str">
        <f aca="false">IF(A66="","",IF(H66=0,"Gap: not taught anywhere",IF(F66=0,"Gap: no community college offering",IF(F66&gt;1,"Check: multiple CC courses",IF(G66="No","Covered: no high school on-ramp","Covered")))))</f>
        <v>Covered: no high school on-ramp</v>
      </c>
      <c r="J66" s="21"/>
      <c r="K66" s="21"/>
      <c r="L66" s="21"/>
      <c r="M66" s="22" t="str">
        <f aca="false">IF(LEFT(I66,5)&lt;&gt;"Check","",IF(COUNTIF(J66:L66,"Yes")+COUNTIF(J66:L66,"No")&lt;3,"Answer the 3 questions",IF(COUNTIF(J66:L66,"Yes")=3,"Duplication: coordinate","Healthy on-ramp: keep")))</f>
        <v/>
      </c>
      <c r="N66" s="9"/>
      <c r="O66" s="9"/>
    </row>
    <row r="67" customFormat="false" ht="23.85" hidden="false" customHeight="false" outlineLevel="0" collapsed="false">
      <c r="A67" s="22" t="str">
        <f aca="false">IF('2 Competency Spine'!A67="","",'2 Competency Spine'!A67)</f>
        <v>EQP-13</v>
      </c>
      <c r="B67" s="11" t="str">
        <f aca="false">IF('2 Competency Spine'!C67="","",'2 Competency Spine'!C67)</f>
        <v>Chamber seal leak detection</v>
      </c>
      <c r="C67" s="11" t="str">
        <f aca="false">IF('2 Competency Spine'!B67="","",'2 Competency Spine'!B67)</f>
        <v>Pathway</v>
      </c>
      <c r="D67" s="11" t="str">
        <f aca="false">IF('2 Competency Spine'!E67="","",'2 Competency Spine'!E67)</f>
        <v>Equipment &amp; Systems Maintenance</v>
      </c>
      <c r="E67" s="11" t="str">
        <f aca="false">IF('2 Competency Spine'!O67="","",'2 Competency Spine'!O67)</f>
        <v>MET215 / SEM201</v>
      </c>
      <c r="F67" s="19" t="n">
        <f aca="false">IF(TRIM(E67)="",0,LEN(E67)-LEN(SUBSTITUTE(E67,"/",""))+1)</f>
        <v>2</v>
      </c>
      <c r="G67" s="19" t="str">
        <f aca="false">IF(A67="","",IF(OR('2 Competency Spine'!M67&lt;&gt;"",'2 Competency Spine'!N67&lt;&gt;""),"Yes","No"))</f>
        <v>No</v>
      </c>
      <c r="H67" s="19" t="n">
        <f aca="false">'2 Competency Spine'!S67</f>
        <v>3</v>
      </c>
      <c r="I67" s="22" t="str">
        <f aca="false">IF(A67="","",IF(H67=0,"Gap: not taught anywhere",IF(F67=0,"Gap: no community college offering",IF(F67&gt;1,"Check: multiple CC courses",IF(G67="No","Covered: no high school on-ramp","Covered")))))</f>
        <v>Check: multiple CC courses</v>
      </c>
      <c r="J67" s="21"/>
      <c r="K67" s="21"/>
      <c r="L67" s="21"/>
      <c r="M67" s="22" t="str">
        <f aca="false">IF(LEFT(I67,5)&lt;&gt;"Check","",IF(COUNTIF(J67:L67,"Yes")+COUNTIF(J67:L67,"No")&lt;3,"Answer the 3 questions",IF(COUNTIF(J67:L67,"Yes")=3,"Duplication: coordinate","Healthy on-ramp: keep")))</f>
        <v>Answer the 3 questions</v>
      </c>
      <c r="N67" s="9"/>
      <c r="O67" s="9"/>
    </row>
    <row r="68" customFormat="false" ht="15" hidden="false" customHeight="false" outlineLevel="0" collapsed="false">
      <c r="A68" s="22" t="str">
        <f aca="false">IF('2 Competency Spine'!A68="","",'2 Competency Spine'!A68)</f>
        <v>MFG-01</v>
      </c>
      <c r="B68" s="11" t="str">
        <f aca="false">IF('2 Competency Spine'!C68="","",'2 Competency Spine'!C68)</f>
        <v>Use basic materials science concepts</v>
      </c>
      <c r="C68" s="11" t="str">
        <f aca="false">IF('2 Competency Spine'!B68="","",'2 Competency Spine'!B68)</f>
        <v>Pathway</v>
      </c>
      <c r="D68" s="11" t="str">
        <f aca="false">IF('2 Competency Spine'!E68="","",'2 Competency Spine'!E68)</f>
        <v>Manufacturing Operations</v>
      </c>
      <c r="E68" s="11" t="str">
        <f aca="false">IF('2 Competency Spine'!O68="","",'2 Competency Spine'!O68)</f>
        <v>MNT225</v>
      </c>
      <c r="F68" s="19" t="n">
        <f aca="false">IF(TRIM(E68)="",0,LEN(E68)-LEN(SUBSTITUTE(E68,"/",""))+1)</f>
        <v>1</v>
      </c>
      <c r="G68" s="19" t="str">
        <f aca="false">IF(A68="","",IF(OR('2 Competency Spine'!M68&lt;&gt;"",'2 Competency Spine'!N68&lt;&gt;""),"Yes","No"))</f>
        <v>Yes</v>
      </c>
      <c r="H68" s="19" t="n">
        <f aca="false">'2 Competency Spine'!S68</f>
        <v>4</v>
      </c>
      <c r="I68" s="22" t="str">
        <f aca="false">IF(A68="","",IF(H68=0,"Gap: not taught anywhere",IF(F68=0,"Gap: no community college offering",IF(F68&gt;1,"Check: multiple CC courses",IF(G68="No","Covered: no high school on-ramp","Covered")))))</f>
        <v>Covered</v>
      </c>
      <c r="J68" s="21"/>
      <c r="K68" s="21"/>
      <c r="L68" s="21"/>
      <c r="M68" s="22" t="str">
        <f aca="false">IF(LEFT(I68,5)&lt;&gt;"Check","",IF(COUNTIF(J68:L68,"Yes")+COUNTIF(J68:L68,"No")&lt;3,"Answer the 3 questions",IF(COUNTIF(J68:L68,"Yes")=3,"Duplication: coordinate","Healthy on-ramp: keep")))</f>
        <v/>
      </c>
      <c r="N68" s="9"/>
      <c r="O68" s="9"/>
    </row>
    <row r="69" customFormat="false" ht="15" hidden="false" customHeight="false" outlineLevel="0" collapsed="false">
      <c r="A69" s="22" t="str">
        <f aca="false">IF('2 Competency Spine'!A69="","",'2 Competency Spine'!A69)</f>
        <v>MFG-02</v>
      </c>
      <c r="B69" s="11" t="str">
        <f aca="false">IF('2 Competency Spine'!C69="","",'2 Competency Spine'!C69)</f>
        <v>Follow wafer flow steps</v>
      </c>
      <c r="C69" s="11" t="str">
        <f aca="false">IF('2 Competency Spine'!B69="","",'2 Competency Spine'!B69)</f>
        <v>Pathway</v>
      </c>
      <c r="D69" s="11" t="str">
        <f aca="false">IF('2 Competency Spine'!E69="","",'2 Competency Spine'!E69)</f>
        <v>Manufacturing Operations</v>
      </c>
      <c r="E69" s="11" t="str">
        <f aca="false">IF('2 Competency Spine'!O69="","",'2 Competency Spine'!O69)</f>
        <v>MNT116</v>
      </c>
      <c r="F69" s="19" t="n">
        <f aca="false">IF(TRIM(E69)="",0,LEN(E69)-LEN(SUBSTITUTE(E69,"/",""))+1)</f>
        <v>1</v>
      </c>
      <c r="G69" s="19" t="str">
        <f aca="false">IF(A69="","",IF(OR('2 Competency Spine'!M69&lt;&gt;"",'2 Competency Spine'!N69&lt;&gt;""),"Yes","No"))</f>
        <v>Yes</v>
      </c>
      <c r="H69" s="19" t="n">
        <f aca="false">'2 Competency Spine'!S69</f>
        <v>4</v>
      </c>
      <c r="I69" s="22" t="str">
        <f aca="false">IF(A69="","",IF(H69=0,"Gap: not taught anywhere",IF(F69=0,"Gap: no community college offering",IF(F69&gt;1,"Check: multiple CC courses",IF(G69="No","Covered: no high school on-ramp","Covered")))))</f>
        <v>Covered</v>
      </c>
      <c r="J69" s="21"/>
      <c r="K69" s="21"/>
      <c r="L69" s="21"/>
      <c r="M69" s="22" t="str">
        <f aca="false">IF(LEFT(I69,5)&lt;&gt;"Check","",IF(COUNTIF(J69:L69,"Yes")+COUNTIF(J69:L69,"No")&lt;3,"Answer the 3 questions",IF(COUNTIF(J69:L69,"Yes")=3,"Duplication: coordinate","Healthy on-ramp: keep")))</f>
        <v/>
      </c>
      <c r="N69" s="9"/>
      <c r="O69" s="9"/>
    </row>
    <row r="70" customFormat="false" ht="23.85" hidden="false" customHeight="false" outlineLevel="0" collapsed="false">
      <c r="A70" s="22" t="str">
        <f aca="false">IF('2 Competency Spine'!A70="","",'2 Competency Spine'!A70)</f>
        <v>MFG-03</v>
      </c>
      <c r="B70" s="11" t="str">
        <f aca="false">IF('2 Competency Spine'!C70="","",'2 Competency Spine'!C70)</f>
        <v>Semiconductor Manufacturing</v>
      </c>
      <c r="C70" s="11" t="str">
        <f aca="false">IF('2 Competency Spine'!B70="","",'2 Competency Spine'!B70)</f>
        <v>Pathway</v>
      </c>
      <c r="D70" s="11" t="str">
        <f aca="false">IF('2 Competency Spine'!E70="","",'2 Competency Spine'!E70)</f>
        <v>Manufacturing Operations</v>
      </c>
      <c r="E70" s="11" t="str">
        <f aca="false">IF('2 Competency Spine'!O70="","",'2 Competency Spine'!O70)</f>
        <v>MNT115</v>
      </c>
      <c r="F70" s="19" t="n">
        <f aca="false">IF(TRIM(E70)="",0,LEN(E70)-LEN(SUBSTITUTE(E70,"/",""))+1)</f>
        <v>1</v>
      </c>
      <c r="G70" s="19" t="str">
        <f aca="false">IF(A70="","",IF(OR('2 Competency Spine'!M70&lt;&gt;"",'2 Competency Spine'!N70&lt;&gt;""),"Yes","No"))</f>
        <v>No</v>
      </c>
      <c r="H70" s="19" t="n">
        <f aca="false">'2 Competency Spine'!S70</f>
        <v>3</v>
      </c>
      <c r="I70" s="22" t="str">
        <f aca="false">IF(A70="","",IF(H70=0,"Gap: not taught anywhere",IF(F70=0,"Gap: no community college offering",IF(F70&gt;1,"Check: multiple CC courses",IF(G70="No","Covered: no high school on-ramp","Covered")))))</f>
        <v>Covered: no high school on-ramp</v>
      </c>
      <c r="J70" s="21"/>
      <c r="K70" s="21"/>
      <c r="L70" s="21"/>
      <c r="M70" s="22" t="str">
        <f aca="false">IF(LEFT(I70,5)&lt;&gt;"Check","",IF(COUNTIF(J70:L70,"Yes")+COUNTIF(J70:L70,"No")&lt;3,"Answer the 3 questions",IF(COUNTIF(J70:L70,"Yes")=3,"Duplication: coordinate","Healthy on-ramp: keep")))</f>
        <v/>
      </c>
      <c r="N70" s="9"/>
      <c r="O70" s="9"/>
    </row>
    <row r="71" customFormat="false" ht="15" hidden="false" customHeight="false" outlineLevel="0" collapsed="false">
      <c r="A71" s="22" t="str">
        <f aca="false">IF('2 Competency Spine'!A71="","",'2 Competency Spine'!A71)</f>
        <v>MFG-04</v>
      </c>
      <c r="B71" s="11" t="str">
        <f aca="false">IF('2 Competency Spine'!C71="","",'2 Competency Spine'!C71)</f>
        <v>Wafer inspection techniques</v>
      </c>
      <c r="C71" s="11" t="str">
        <f aca="false">IF('2 Competency Spine'!B71="","",'2 Competency Spine'!B71)</f>
        <v>Pathway</v>
      </c>
      <c r="D71" s="11" t="str">
        <f aca="false">IF('2 Competency Spine'!E71="","",'2 Competency Spine'!E71)</f>
        <v>Manufacturing Operations</v>
      </c>
      <c r="E71" s="11" t="str">
        <f aca="false">IF('2 Competency Spine'!O71="","",'2 Competency Spine'!O71)</f>
        <v>SEM101 / SEM110</v>
      </c>
      <c r="F71" s="19" t="n">
        <f aca="false">IF(TRIM(E71)="",0,LEN(E71)-LEN(SUBSTITUTE(E71,"/",""))+1)</f>
        <v>2</v>
      </c>
      <c r="G71" s="19" t="str">
        <f aca="false">IF(A71="","",IF(OR('2 Competency Spine'!M71&lt;&gt;"",'2 Competency Spine'!N71&lt;&gt;""),"Yes","No"))</f>
        <v>No</v>
      </c>
      <c r="H71" s="19" t="n">
        <f aca="false">'2 Competency Spine'!S71</f>
        <v>3</v>
      </c>
      <c r="I71" s="22" t="str">
        <f aca="false">IF(A71="","",IF(H71=0,"Gap: not taught anywhere",IF(F71=0,"Gap: no community college offering",IF(F71&gt;1,"Check: multiple CC courses",IF(G71="No","Covered: no high school on-ramp","Covered")))))</f>
        <v>Check: multiple CC courses</v>
      </c>
      <c r="J71" s="21"/>
      <c r="K71" s="21"/>
      <c r="L71" s="21"/>
      <c r="M71" s="22" t="str">
        <f aca="false">IF(LEFT(I71,5)&lt;&gt;"Check","",IF(COUNTIF(J71:L71,"Yes")+COUNTIF(J71:L71,"No")&lt;3,"Answer the 3 questions",IF(COUNTIF(J71:L71,"Yes")=3,"Duplication: coordinate","Healthy on-ramp: keep")))</f>
        <v>Answer the 3 questions</v>
      </c>
      <c r="N71" s="9"/>
      <c r="O71" s="9"/>
    </row>
    <row r="72" customFormat="false" ht="23.85" hidden="false" customHeight="false" outlineLevel="0" collapsed="false">
      <c r="A72" s="22" t="str">
        <f aca="false">IF('2 Competency Spine'!A72="","",'2 Competency Spine'!A72)</f>
        <v>MFG-05</v>
      </c>
      <c r="B72" s="11" t="str">
        <f aca="false">IF('2 Competency Spine'!C72="","",'2 Competency Spine'!C72)</f>
        <v>Cleanroom protocol adherence</v>
      </c>
      <c r="C72" s="11" t="str">
        <f aca="false">IF('2 Competency Spine'!B72="","",'2 Competency Spine'!B72)</f>
        <v>Pathway</v>
      </c>
      <c r="D72" s="11" t="str">
        <f aca="false">IF('2 Competency Spine'!E72="","",'2 Competency Spine'!E72)</f>
        <v>Manufacturing Operations</v>
      </c>
      <c r="E72" s="11" t="str">
        <f aca="false">IF('2 Competency Spine'!O72="","",'2 Competency Spine'!O72)</f>
        <v>SEM101</v>
      </c>
      <c r="F72" s="19" t="n">
        <f aca="false">IF(TRIM(E72)="",0,LEN(E72)-LEN(SUBSTITUTE(E72,"/",""))+1)</f>
        <v>1</v>
      </c>
      <c r="G72" s="19" t="str">
        <f aca="false">IF(A72="","",IF(OR('2 Competency Spine'!M72&lt;&gt;"",'2 Competency Spine'!N72&lt;&gt;""),"Yes","No"))</f>
        <v>No</v>
      </c>
      <c r="H72" s="19" t="n">
        <f aca="false">'2 Competency Spine'!S72</f>
        <v>3</v>
      </c>
      <c r="I72" s="22" t="str">
        <f aca="false">IF(A72="","",IF(H72=0,"Gap: not taught anywhere",IF(F72=0,"Gap: no community college offering",IF(F72&gt;1,"Check: multiple CC courses",IF(G72="No","Covered: no high school on-ramp","Covered")))))</f>
        <v>Covered: no high school on-ramp</v>
      </c>
      <c r="J72" s="21"/>
      <c r="K72" s="21"/>
      <c r="L72" s="21"/>
      <c r="M72" s="22" t="str">
        <f aca="false">IF(LEFT(I72,5)&lt;&gt;"Check","",IF(COUNTIF(J72:L72,"Yes")+COUNTIF(J72:L72,"No")&lt;3,"Answer the 3 questions",IF(COUNTIF(J72:L72,"Yes")=3,"Duplication: coordinate","Healthy on-ramp: keep")))</f>
        <v/>
      </c>
      <c r="N72" s="9"/>
      <c r="O72" s="9"/>
    </row>
    <row r="73" customFormat="false" ht="15" hidden="false" customHeight="false" outlineLevel="0" collapsed="false">
      <c r="A73" s="22" t="str">
        <f aca="false">IF('2 Competency Spine'!A73="","",'2 Competency Spine'!A73)</f>
        <v>MFG-06</v>
      </c>
      <c r="B73" s="11" t="str">
        <f aca="false">IF('2 Competency Spine'!C73="","",'2 Competency Spine'!C73)</f>
        <v>Manufacturing execution system logging</v>
      </c>
      <c r="C73" s="11" t="str">
        <f aca="false">IF('2 Competency Spine'!B73="","",'2 Competency Spine'!B73)</f>
        <v>Pathway</v>
      </c>
      <c r="D73" s="11" t="str">
        <f aca="false">IF('2 Competency Spine'!E73="","",'2 Competency Spine'!E73)</f>
        <v>Manufacturing Operations</v>
      </c>
      <c r="E73" s="11" t="str">
        <f aca="false">IF('2 Competency Spine'!O73="","",'2 Competency Spine'!O73)</f>
        <v>SEM101 / BPC110</v>
      </c>
      <c r="F73" s="19" t="n">
        <f aca="false">IF(TRIM(E73)="",0,LEN(E73)-LEN(SUBSTITUTE(E73,"/",""))+1)</f>
        <v>2</v>
      </c>
      <c r="G73" s="19" t="str">
        <f aca="false">IF(A73="","",IF(OR('2 Competency Spine'!M73&lt;&gt;"",'2 Competency Spine'!N73&lt;&gt;""),"Yes","No"))</f>
        <v>No</v>
      </c>
      <c r="H73" s="19" t="n">
        <f aca="false">'2 Competency Spine'!S73</f>
        <v>3</v>
      </c>
      <c r="I73" s="22" t="str">
        <f aca="false">IF(A73="","",IF(H73=0,"Gap: not taught anywhere",IF(F73=0,"Gap: no community college offering",IF(F73&gt;1,"Check: multiple CC courses",IF(G73="No","Covered: no high school on-ramp","Covered")))))</f>
        <v>Check: multiple CC courses</v>
      </c>
      <c r="J73" s="21"/>
      <c r="K73" s="21"/>
      <c r="L73" s="21"/>
      <c r="M73" s="22" t="str">
        <f aca="false">IF(LEFT(I73,5)&lt;&gt;"Check","",IF(COUNTIF(J73:L73,"Yes")+COUNTIF(J73:L73,"No")&lt;3,"Answer the 3 questions",IF(COUNTIF(J73:L73,"Yes")=3,"Duplication: coordinate","Healthy on-ramp: keep")))</f>
        <v>Answer the 3 questions</v>
      </c>
      <c r="N73" s="9"/>
      <c r="O73" s="9"/>
    </row>
    <row r="74" customFormat="false" ht="15" hidden="false" customHeight="false" outlineLevel="0" collapsed="false">
      <c r="A74" s="22" t="str">
        <f aca="false">IF('2 Competency Spine'!A74="","",'2 Competency Spine'!A74)</f>
        <v>MFG-07</v>
      </c>
      <c r="B74" s="11" t="str">
        <f aca="false">IF('2 Competency Spine'!C74="","",'2 Competency Spine'!C74)</f>
        <v>Equipment run log parsing</v>
      </c>
      <c r="C74" s="11" t="str">
        <f aca="false">IF('2 Competency Spine'!B74="","",'2 Competency Spine'!B74)</f>
        <v>Pathway</v>
      </c>
      <c r="D74" s="11" t="str">
        <f aca="false">IF('2 Competency Spine'!E74="","",'2 Competency Spine'!E74)</f>
        <v>Manufacturing Operations</v>
      </c>
      <c r="E74" s="11" t="str">
        <f aca="false">IF('2 Competency Spine'!O74="","",'2 Competency Spine'!O74)</f>
        <v>CIS122 / BPC110</v>
      </c>
      <c r="F74" s="19" t="n">
        <f aca="false">IF(TRIM(E74)="",0,LEN(E74)-LEN(SUBSTITUTE(E74,"/",""))+1)</f>
        <v>2</v>
      </c>
      <c r="G74" s="19" t="str">
        <f aca="false">IF(A74="","",IF(OR('2 Competency Spine'!M74&lt;&gt;"",'2 Competency Spine'!N74&lt;&gt;""),"Yes","No"))</f>
        <v>No</v>
      </c>
      <c r="H74" s="19" t="n">
        <f aca="false">'2 Competency Spine'!S74</f>
        <v>3</v>
      </c>
      <c r="I74" s="22" t="str">
        <f aca="false">IF(A74="","",IF(H74=0,"Gap: not taught anywhere",IF(F74=0,"Gap: no community college offering",IF(F74&gt;1,"Check: multiple CC courses",IF(G74="No","Covered: no high school on-ramp","Covered")))))</f>
        <v>Check: multiple CC courses</v>
      </c>
      <c r="J74" s="21"/>
      <c r="K74" s="21"/>
      <c r="L74" s="21"/>
      <c r="M74" s="22" t="str">
        <f aca="false">IF(LEFT(I74,5)&lt;&gt;"Check","",IF(COUNTIF(J74:L74,"Yes")+COUNTIF(J74:L74,"No")&lt;3,"Answer the 3 questions",IF(COUNTIF(J74:L74,"Yes")=3,"Duplication: coordinate","Healthy on-ramp: keep")))</f>
        <v>Answer the 3 questions</v>
      </c>
      <c r="N74" s="9"/>
      <c r="O74" s="9"/>
    </row>
    <row r="75" customFormat="false" ht="15" hidden="false" customHeight="false" outlineLevel="0" collapsed="false">
      <c r="A75" s="22" t="str">
        <f aca="false">IF('2 Competency Spine'!A75="","",'2 Competency Spine'!A75)</f>
        <v>MFG-08</v>
      </c>
      <c r="B75" s="11" t="str">
        <f aca="false">IF('2 Competency Spine'!C75="","",'2 Competency Spine'!C75)</f>
        <v>Pyrophoric gas safety</v>
      </c>
      <c r="C75" s="11" t="str">
        <f aca="false">IF('2 Competency Spine'!B75="","",'2 Competency Spine'!B75)</f>
        <v>Pathway</v>
      </c>
      <c r="D75" s="11" t="str">
        <f aca="false">IF('2 Competency Spine'!E75="","",'2 Competency Spine'!E75)</f>
        <v>Manufacturing Operations</v>
      </c>
      <c r="E75" s="11" t="str">
        <f aca="false">IF('2 Competency Spine'!O75="","",'2 Competency Spine'!O75)</f>
        <v>SEM101 / MET101</v>
      </c>
      <c r="F75" s="19" t="n">
        <f aca="false">IF(TRIM(E75)="",0,LEN(E75)-LEN(SUBSTITUTE(E75,"/",""))+1)</f>
        <v>2</v>
      </c>
      <c r="G75" s="19" t="str">
        <f aca="false">IF(A75="","",IF(OR('2 Competency Spine'!M75&lt;&gt;"",'2 Competency Spine'!N75&lt;&gt;""),"Yes","No"))</f>
        <v>No</v>
      </c>
      <c r="H75" s="19" t="n">
        <f aca="false">'2 Competency Spine'!S75</f>
        <v>3</v>
      </c>
      <c r="I75" s="22" t="str">
        <f aca="false">IF(A75="","",IF(H75=0,"Gap: not taught anywhere",IF(F75=0,"Gap: no community college offering",IF(F75&gt;1,"Check: multiple CC courses",IF(G75="No","Covered: no high school on-ramp","Covered")))))</f>
        <v>Check: multiple CC courses</v>
      </c>
      <c r="J75" s="21"/>
      <c r="K75" s="21"/>
      <c r="L75" s="21"/>
      <c r="M75" s="22" t="str">
        <f aca="false">IF(LEFT(I75,5)&lt;&gt;"Check","",IF(COUNTIF(J75:L75,"Yes")+COUNTIF(J75:L75,"No")&lt;3,"Answer the 3 questions",IF(COUNTIF(J75:L75,"Yes")=3,"Duplication: coordinate","Healthy on-ramp: keep")))</f>
        <v>Answer the 3 questions</v>
      </c>
      <c r="N75" s="9"/>
      <c r="O75" s="9"/>
    </row>
    <row r="76" customFormat="false" ht="15" hidden="false" customHeight="false" outlineLevel="0" collapsed="false">
      <c r="A76" s="22" t="str">
        <f aca="false">IF('2 Competency Spine'!A76="","",'2 Competency Spine'!A76)</f>
        <v>MFG-09</v>
      </c>
      <c r="B76" s="11" t="str">
        <f aca="false">IF('2 Competency Spine'!C76="","",'2 Competency Spine'!C76)</f>
        <v>Lockout/tagout execution</v>
      </c>
      <c r="C76" s="11" t="str">
        <f aca="false">IF('2 Competency Spine'!B76="","",'2 Competency Spine'!B76)</f>
        <v>Pathway</v>
      </c>
      <c r="D76" s="11" t="str">
        <f aca="false">IF('2 Competency Spine'!E76="","",'2 Competency Spine'!E76)</f>
        <v>Manufacturing Operations</v>
      </c>
      <c r="E76" s="11" t="str">
        <f aca="false">IF('2 Competency Spine'!O76="","",'2 Competency Spine'!O76)</f>
        <v>SEM101 / MET101</v>
      </c>
      <c r="F76" s="19" t="n">
        <f aca="false">IF(TRIM(E76)="",0,LEN(E76)-LEN(SUBSTITUTE(E76,"/",""))+1)</f>
        <v>2</v>
      </c>
      <c r="G76" s="19" t="str">
        <f aca="false">IF(A76="","",IF(OR('2 Competency Spine'!M76&lt;&gt;"",'2 Competency Spine'!N76&lt;&gt;""),"Yes","No"))</f>
        <v>No</v>
      </c>
      <c r="H76" s="19" t="n">
        <f aca="false">'2 Competency Spine'!S76</f>
        <v>3</v>
      </c>
      <c r="I76" s="22" t="str">
        <f aca="false">IF(A76="","",IF(H76=0,"Gap: not taught anywhere",IF(F76=0,"Gap: no community college offering",IF(F76&gt;1,"Check: multiple CC courses",IF(G76="No","Covered: no high school on-ramp","Covered")))))</f>
        <v>Check: multiple CC courses</v>
      </c>
      <c r="J76" s="21"/>
      <c r="K76" s="21"/>
      <c r="L76" s="21"/>
      <c r="M76" s="22" t="str">
        <f aca="false">IF(LEFT(I76,5)&lt;&gt;"Check","",IF(COUNTIF(J76:L76,"Yes")+COUNTIF(J76:L76,"No")&lt;3,"Answer the 3 questions",IF(COUNTIF(J76:L76,"Yes")=3,"Duplication: coordinate","Healthy on-ramp: keep")))</f>
        <v>Answer the 3 questions</v>
      </c>
      <c r="N76" s="9"/>
      <c r="O76" s="9"/>
    </row>
    <row r="77" customFormat="false" ht="23.85" hidden="false" customHeight="false" outlineLevel="0" collapsed="false">
      <c r="A77" s="22" t="str">
        <f aca="false">IF('2 Competency Spine'!A77="","",'2 Competency Spine'!A77)</f>
        <v>MFG-10</v>
      </c>
      <c r="B77" s="11" t="str">
        <f aca="false">IF('2 Competency Spine'!C77="","",'2 Competency Spine'!C77)</f>
        <v>Automated material handling system operation</v>
      </c>
      <c r="C77" s="11" t="str">
        <f aca="false">IF('2 Competency Spine'!B77="","",'2 Competency Spine'!B77)</f>
        <v>Pathway</v>
      </c>
      <c r="D77" s="11" t="str">
        <f aca="false">IF('2 Competency Spine'!E77="","",'2 Competency Spine'!E77)</f>
        <v>Manufacturing Operations</v>
      </c>
      <c r="E77" s="11" t="str">
        <f aca="false">IF('2 Competency Spine'!O77="","",'2 Competency Spine'!O77)</f>
        <v>MET180 / MET220</v>
      </c>
      <c r="F77" s="19" t="n">
        <f aca="false">IF(TRIM(E77)="",0,LEN(E77)-LEN(SUBSTITUTE(E77,"/",""))+1)</f>
        <v>2</v>
      </c>
      <c r="G77" s="19" t="str">
        <f aca="false">IF(A77="","",IF(OR('2 Competency Spine'!M77&lt;&gt;"",'2 Competency Spine'!N77&lt;&gt;""),"Yes","No"))</f>
        <v>No</v>
      </c>
      <c r="H77" s="19" t="n">
        <f aca="false">'2 Competency Spine'!S77</f>
        <v>3</v>
      </c>
      <c r="I77" s="22" t="str">
        <f aca="false">IF(A77="","",IF(H77=0,"Gap: not taught anywhere",IF(F77=0,"Gap: no community college offering",IF(F77&gt;1,"Check: multiple CC courses",IF(G77="No","Covered: no high school on-ramp","Covered")))))</f>
        <v>Check: multiple CC courses</v>
      </c>
      <c r="J77" s="21"/>
      <c r="K77" s="21"/>
      <c r="L77" s="21"/>
      <c r="M77" s="22" t="str">
        <f aca="false">IF(LEFT(I77,5)&lt;&gt;"Check","",IF(COUNTIF(J77:L77,"Yes")+COUNTIF(J77:L77,"No")&lt;3,"Answer the 3 questions",IF(COUNTIF(J77:L77,"Yes")=3,"Duplication: coordinate","Healthy on-ramp: keep")))</f>
        <v>Answer the 3 questions</v>
      </c>
      <c r="N77" s="9"/>
      <c r="O77" s="9"/>
    </row>
    <row r="78" customFormat="false" ht="15" hidden="false" customHeight="false" outlineLevel="0" collapsed="false">
      <c r="A78" s="22" t="str">
        <f aca="false">IF('2 Competency Spine'!A78="","",'2 Competency Spine'!A78)</f>
        <v>MFG-11</v>
      </c>
      <c r="B78" s="11" t="str">
        <f aca="false">IF('2 Competency Spine'!C78="","",'2 Competency Spine'!C78)</f>
        <v>FOUP loading and unloading</v>
      </c>
      <c r="C78" s="11" t="str">
        <f aca="false">IF('2 Competency Spine'!B78="","",'2 Competency Spine'!B78)</f>
        <v>Pathway</v>
      </c>
      <c r="D78" s="11" t="str">
        <f aca="false">IF('2 Competency Spine'!E78="","",'2 Competency Spine'!E78)</f>
        <v>Manufacturing Operations</v>
      </c>
      <c r="E78" s="11" t="str">
        <f aca="false">IF('2 Competency Spine'!O78="","",'2 Competency Spine'!O78)</f>
        <v>SEM101 / MET180</v>
      </c>
      <c r="F78" s="19" t="n">
        <f aca="false">IF(TRIM(E78)="",0,LEN(E78)-LEN(SUBSTITUTE(E78,"/",""))+1)</f>
        <v>2</v>
      </c>
      <c r="G78" s="19" t="str">
        <f aca="false">IF(A78="","",IF(OR('2 Competency Spine'!M78&lt;&gt;"",'2 Competency Spine'!N78&lt;&gt;""),"Yes","No"))</f>
        <v>No</v>
      </c>
      <c r="H78" s="19" t="n">
        <f aca="false">'2 Competency Spine'!S78</f>
        <v>3</v>
      </c>
      <c r="I78" s="22" t="str">
        <f aca="false">IF(A78="","",IF(H78=0,"Gap: not taught anywhere",IF(F78=0,"Gap: no community college offering",IF(F78&gt;1,"Check: multiple CC courses",IF(G78="No","Covered: no high school on-ramp","Covered")))))</f>
        <v>Check: multiple CC courses</v>
      </c>
      <c r="J78" s="21"/>
      <c r="K78" s="21"/>
      <c r="L78" s="21"/>
      <c r="M78" s="22" t="str">
        <f aca="false">IF(LEFT(I78,5)&lt;&gt;"Check","",IF(COUNTIF(J78:L78,"Yes")+COUNTIF(J78:L78,"No")&lt;3,"Answer the 3 questions",IF(COUNTIF(J78:L78,"Yes")=3,"Duplication: coordinate","Healthy on-ramp: keep")))</f>
        <v>Answer the 3 questions</v>
      </c>
      <c r="N78" s="9"/>
      <c r="O78" s="9"/>
    </row>
    <row r="79" customFormat="false" ht="23.85" hidden="false" customHeight="false" outlineLevel="0" collapsed="false">
      <c r="A79" s="22" t="str">
        <f aca="false">IF('2 Competency Spine'!A79="","",'2 Competency Spine'!A79)</f>
        <v>MFG-12</v>
      </c>
      <c r="B79" s="11" t="str">
        <f aca="false">IF('2 Competency Spine'!C79="","",'2 Competency Spine'!C79)</f>
        <v>Photolithography execution</v>
      </c>
      <c r="C79" s="11" t="str">
        <f aca="false">IF('2 Competency Spine'!B79="","",'2 Competency Spine'!B79)</f>
        <v>Pathway</v>
      </c>
      <c r="D79" s="11" t="str">
        <f aca="false">IF('2 Competency Spine'!E79="","",'2 Competency Spine'!E79)</f>
        <v>Manufacturing Operations</v>
      </c>
      <c r="E79" s="11" t="str">
        <f aca="false">IF('2 Competency Spine'!O79="","",'2 Competency Spine'!O79)</f>
        <v>SEM110</v>
      </c>
      <c r="F79" s="19" t="n">
        <f aca="false">IF(TRIM(E79)="",0,LEN(E79)-LEN(SUBSTITUTE(E79,"/",""))+1)</f>
        <v>1</v>
      </c>
      <c r="G79" s="19" t="str">
        <f aca="false">IF(A79="","",IF(OR('2 Competency Spine'!M79&lt;&gt;"",'2 Competency Spine'!N79&lt;&gt;""),"Yes","No"))</f>
        <v>No</v>
      </c>
      <c r="H79" s="19" t="n">
        <f aca="false">'2 Competency Spine'!S79</f>
        <v>3</v>
      </c>
      <c r="I79" s="22" t="str">
        <f aca="false">IF(A79="","",IF(H79=0,"Gap: not taught anywhere",IF(F79=0,"Gap: no community college offering",IF(F79&gt;1,"Check: multiple CC courses",IF(G79="No","Covered: no high school on-ramp","Covered")))))</f>
        <v>Covered: no high school on-ramp</v>
      </c>
      <c r="J79" s="21"/>
      <c r="K79" s="21"/>
      <c r="L79" s="21"/>
      <c r="M79" s="22" t="str">
        <f aca="false">IF(LEFT(I79,5)&lt;&gt;"Check","",IF(COUNTIF(J79:L79,"Yes")+COUNTIF(J79:L79,"No")&lt;3,"Answer the 3 questions",IF(COUNTIF(J79:L79,"Yes")=3,"Duplication: coordinate","Healthy on-ramp: keep")))</f>
        <v/>
      </c>
      <c r="N79" s="9"/>
      <c r="O79" s="9"/>
    </row>
    <row r="80" customFormat="false" ht="15" hidden="false" customHeight="false" outlineLevel="0" collapsed="false">
      <c r="A80" s="22" t="str">
        <f aca="false">IF('2 Competency Spine'!A80="","",'2 Competency Spine'!A80)</f>
        <v>MFG-13</v>
      </c>
      <c r="B80" s="11" t="str">
        <f aca="false">IF('2 Competency Spine'!C80="","",'2 Competency Spine'!C80)</f>
        <v>Chemical mechanical planarization</v>
      </c>
      <c r="C80" s="11" t="str">
        <f aca="false">IF('2 Competency Spine'!B80="","",'2 Competency Spine'!B80)</f>
        <v>Pathway</v>
      </c>
      <c r="D80" s="11" t="str">
        <f aca="false">IF('2 Competency Spine'!E80="","",'2 Competency Spine'!E80)</f>
        <v>Manufacturing Operations</v>
      </c>
      <c r="E80" s="11" t="str">
        <f aca="false">IF('2 Competency Spine'!O80="","",'2 Competency Spine'!O80)</f>
        <v>SEM110 / SEM210</v>
      </c>
      <c r="F80" s="19" t="n">
        <f aca="false">IF(TRIM(E80)="",0,LEN(E80)-LEN(SUBSTITUTE(E80,"/",""))+1)</f>
        <v>2</v>
      </c>
      <c r="G80" s="19" t="str">
        <f aca="false">IF(A80="","",IF(OR('2 Competency Spine'!M80&lt;&gt;"",'2 Competency Spine'!N80&lt;&gt;""),"Yes","No"))</f>
        <v>No</v>
      </c>
      <c r="H80" s="19" t="n">
        <f aca="false">'2 Competency Spine'!S80</f>
        <v>3</v>
      </c>
      <c r="I80" s="22" t="str">
        <f aca="false">IF(A80="","",IF(H80=0,"Gap: not taught anywhere",IF(F80=0,"Gap: no community college offering",IF(F80&gt;1,"Check: multiple CC courses",IF(G80="No","Covered: no high school on-ramp","Covered")))))</f>
        <v>Check: multiple CC courses</v>
      </c>
      <c r="J80" s="21"/>
      <c r="K80" s="21"/>
      <c r="L80" s="21"/>
      <c r="M80" s="22" t="str">
        <f aca="false">IF(LEFT(I80,5)&lt;&gt;"Check","",IF(COUNTIF(J80:L80,"Yes")+COUNTIF(J80:L80,"No")&lt;3,"Answer the 3 questions",IF(COUNTIF(J80:L80,"Yes")=3,"Duplication: coordinate","Healthy on-ramp: keep")))</f>
        <v>Answer the 3 questions</v>
      </c>
      <c r="N80" s="9"/>
      <c r="O80" s="9"/>
    </row>
    <row r="81" customFormat="false" ht="23.85" hidden="false" customHeight="false" outlineLevel="0" collapsed="false">
      <c r="A81" s="22" t="str">
        <f aca="false">IF('2 Competency Spine'!A81="","",'2 Competency Spine'!A81)</f>
        <v>PEQ-01</v>
      </c>
      <c r="B81" s="11" t="str">
        <f aca="false">IF('2 Competency Spine'!C81="","",'2 Competency Spine'!C81)</f>
        <v>Apply semiconductor device physics</v>
      </c>
      <c r="C81" s="11" t="str">
        <f aca="false">IF('2 Competency Spine'!B81="","",'2 Competency Spine'!B81)</f>
        <v>Pathway</v>
      </c>
      <c r="D81" s="11" t="str">
        <f aca="false">IF('2 Competency Spine'!E81="","",'2 Competency Spine'!E81)</f>
        <v>Process Engineering &amp; Quality</v>
      </c>
      <c r="E81" s="11" t="str">
        <f aca="false">IF('2 Competency Spine'!O81="","",'2 Competency Spine'!O81)</f>
        <v>MNT225</v>
      </c>
      <c r="F81" s="19" t="n">
        <f aca="false">IF(TRIM(E81)="",0,LEN(E81)-LEN(SUBSTITUTE(E81,"/",""))+1)</f>
        <v>1</v>
      </c>
      <c r="G81" s="19" t="str">
        <f aca="false">IF(A81="","",IF(OR('2 Competency Spine'!M81&lt;&gt;"",'2 Competency Spine'!N81&lt;&gt;""),"Yes","No"))</f>
        <v>Yes</v>
      </c>
      <c r="H81" s="19" t="n">
        <f aca="false">'2 Competency Spine'!S81</f>
        <v>4</v>
      </c>
      <c r="I81" s="22" t="str">
        <f aca="false">IF(A81="","",IF(H81=0,"Gap: not taught anywhere",IF(F81=0,"Gap: no community college offering",IF(F81&gt;1,"Check: multiple CC courses",IF(G81="No","Covered: no high school on-ramp","Covered")))))</f>
        <v>Covered</v>
      </c>
      <c r="J81" s="21"/>
      <c r="K81" s="21"/>
      <c r="L81" s="21"/>
      <c r="M81" s="22" t="str">
        <f aca="false">IF(LEFT(I81,5)&lt;&gt;"Check","",IF(COUNTIF(J81:L81,"Yes")+COUNTIF(J81:L81,"No")&lt;3,"Answer the 3 questions",IF(COUNTIF(J81:L81,"Yes")=3,"Duplication: coordinate","Healthy on-ramp: keep")))</f>
        <v/>
      </c>
      <c r="N81" s="9"/>
      <c r="O81" s="9"/>
    </row>
    <row r="82" customFormat="false" ht="23.85" hidden="false" customHeight="false" outlineLevel="0" collapsed="false">
      <c r="A82" s="22" t="str">
        <f aca="false">IF('2 Competency Spine'!A82="","",'2 Competency Spine'!A82)</f>
        <v>PEQ-02</v>
      </c>
      <c r="B82" s="11" t="str">
        <f aca="false">IF('2 Competency Spine'!C82="","",'2 Competency Spine'!C82)</f>
        <v>Use EDA &amp; yield analysis tools</v>
      </c>
      <c r="C82" s="11" t="str">
        <f aca="false">IF('2 Competency Spine'!B82="","",'2 Competency Spine'!B82)</f>
        <v>Pathway</v>
      </c>
      <c r="D82" s="11" t="str">
        <f aca="false">IF('2 Competency Spine'!E82="","",'2 Competency Spine'!E82)</f>
        <v>Process Engineering &amp; Quality</v>
      </c>
      <c r="E82" s="11" t="str">
        <f aca="false">IF('2 Competency Spine'!O82="","",'2 Competency Spine'!O82)</f>
        <v>MNT215</v>
      </c>
      <c r="F82" s="19" t="n">
        <f aca="false">IF(TRIM(E82)="",0,LEN(E82)-LEN(SUBSTITUTE(E82,"/",""))+1)</f>
        <v>1</v>
      </c>
      <c r="G82" s="19" t="str">
        <f aca="false">IF(A82="","",IF(OR('2 Competency Spine'!M82&lt;&gt;"",'2 Competency Spine'!N82&lt;&gt;""),"Yes","No"))</f>
        <v>Yes</v>
      </c>
      <c r="H82" s="19" t="n">
        <f aca="false">'2 Competency Spine'!S82</f>
        <v>4</v>
      </c>
      <c r="I82" s="22" t="str">
        <f aca="false">IF(A82="","",IF(H82=0,"Gap: not taught anywhere",IF(F82=0,"Gap: no community college offering",IF(F82&gt;1,"Check: multiple CC courses",IF(G82="No","Covered: no high school on-ramp","Covered")))))</f>
        <v>Covered</v>
      </c>
      <c r="J82" s="21"/>
      <c r="K82" s="21"/>
      <c r="L82" s="21"/>
      <c r="M82" s="22" t="str">
        <f aca="false">IF(LEFT(I82,5)&lt;&gt;"Check","",IF(COUNTIF(J82:L82,"Yes")+COUNTIF(J82:L82,"No")&lt;3,"Answer the 3 questions",IF(COUNTIF(J82:L82,"Yes")=3,"Duplication: coordinate","Healthy on-ramp: keep")))</f>
        <v/>
      </c>
      <c r="N82" s="9"/>
      <c r="O82" s="9"/>
    </row>
    <row r="83" customFormat="false" ht="23.85" hidden="false" customHeight="false" outlineLevel="0" collapsed="false">
      <c r="A83" s="22" t="str">
        <f aca="false">IF('2 Competency Spine'!A83="","",'2 Competency Spine'!A83)</f>
        <v>PEQ-03</v>
      </c>
      <c r="B83" s="11" t="str">
        <f aca="false">IF('2 Competency Spine'!C83="","",'2 Competency Spine'!C83)</f>
        <v>Perform SP analyses</v>
      </c>
      <c r="C83" s="11" t="str">
        <f aca="false">IF('2 Competency Spine'!B83="","",'2 Competency Spine'!B83)</f>
        <v>Pathway</v>
      </c>
      <c r="D83" s="11" t="str">
        <f aca="false">IF('2 Competency Spine'!E83="","",'2 Competency Spine'!E83)</f>
        <v>Process Engineering &amp; Quality</v>
      </c>
      <c r="E83" s="11" t="str">
        <f aca="false">IF('2 Competency Spine'!O83="","",'2 Competency Spine'!O83)</f>
        <v>MNT108</v>
      </c>
      <c r="F83" s="19" t="n">
        <f aca="false">IF(TRIM(E83)="",0,LEN(E83)-LEN(SUBSTITUTE(E83,"/",""))+1)</f>
        <v>1</v>
      </c>
      <c r="G83" s="19" t="str">
        <f aca="false">IF(A83="","",IF(OR('2 Competency Spine'!M83&lt;&gt;"",'2 Competency Spine'!N83&lt;&gt;""),"Yes","No"))</f>
        <v>Yes</v>
      </c>
      <c r="H83" s="19" t="n">
        <f aca="false">'2 Competency Spine'!S83</f>
        <v>4</v>
      </c>
      <c r="I83" s="22" t="str">
        <f aca="false">IF(A83="","",IF(H83=0,"Gap: not taught anywhere",IF(F83=0,"Gap: no community college offering",IF(F83&gt;1,"Check: multiple CC courses",IF(G83="No","Covered: no high school on-ramp","Covered")))))</f>
        <v>Covered</v>
      </c>
      <c r="J83" s="21"/>
      <c r="K83" s="21"/>
      <c r="L83" s="21"/>
      <c r="M83" s="22" t="str">
        <f aca="false">IF(LEFT(I83,5)&lt;&gt;"Check","",IF(COUNTIF(J83:L83,"Yes")+COUNTIF(J83:L83,"No")&lt;3,"Answer the 3 questions",IF(COUNTIF(J83:L83,"Yes")=3,"Duplication: coordinate","Healthy on-ramp: keep")))</f>
        <v/>
      </c>
      <c r="N83" s="9"/>
      <c r="O83" s="9"/>
    </row>
    <row r="84" customFormat="false" ht="23.85" hidden="false" customHeight="false" outlineLevel="0" collapsed="false">
      <c r="A84" s="22" t="str">
        <f aca="false">IF('2 Competency Spine'!A84="","",'2 Competency Spine'!A84)</f>
        <v>PEQ-04</v>
      </c>
      <c r="B84" s="11" t="str">
        <f aca="false">IF('2 Competency Spine'!C84="","",'2 Competency Spine'!C84)</f>
        <v>Implement process improvement actions</v>
      </c>
      <c r="C84" s="11" t="str">
        <f aca="false">IF('2 Competency Spine'!B84="","",'2 Competency Spine'!B84)</f>
        <v>Pathway</v>
      </c>
      <c r="D84" s="11" t="str">
        <f aca="false">IF('2 Competency Spine'!E84="","",'2 Competency Spine'!E84)</f>
        <v>Process Engineering &amp; Quality</v>
      </c>
      <c r="E84" s="11" t="str">
        <f aca="false">IF('2 Competency Spine'!O84="","",'2 Competency Spine'!O84)</f>
        <v>AIT132</v>
      </c>
      <c r="F84" s="19" t="n">
        <f aca="false">IF(TRIM(E84)="",0,LEN(E84)-LEN(SUBSTITUTE(E84,"/",""))+1)</f>
        <v>1</v>
      </c>
      <c r="G84" s="19" t="str">
        <f aca="false">IF(A84="","",IF(OR('2 Competency Spine'!M84&lt;&gt;"",'2 Competency Spine'!N84&lt;&gt;""),"Yes","No"))</f>
        <v>Yes</v>
      </c>
      <c r="H84" s="19" t="n">
        <f aca="false">'2 Competency Spine'!S84</f>
        <v>4</v>
      </c>
      <c r="I84" s="22" t="str">
        <f aca="false">IF(A84="","",IF(H84=0,"Gap: not taught anywhere",IF(F84=0,"Gap: no community college offering",IF(F84&gt;1,"Check: multiple CC courses",IF(G84="No","Covered: no high school on-ramp","Covered")))))</f>
        <v>Covered</v>
      </c>
      <c r="J84" s="21"/>
      <c r="K84" s="21"/>
      <c r="L84" s="21"/>
      <c r="M84" s="22" t="str">
        <f aca="false">IF(LEFT(I84,5)&lt;&gt;"Check","",IF(COUNTIF(J84:L84,"Yes")+COUNTIF(J84:L84,"No")&lt;3,"Answer the 3 questions",IF(COUNTIF(J84:L84,"Yes")=3,"Duplication: coordinate","Healthy on-ramp: keep")))</f>
        <v/>
      </c>
      <c r="N84" s="9"/>
      <c r="O84" s="9"/>
    </row>
    <row r="85" customFormat="false" ht="23.85" hidden="false" customHeight="false" outlineLevel="0" collapsed="false">
      <c r="A85" s="22" t="str">
        <f aca="false">IF('2 Competency Spine'!A85="","",'2 Competency Spine'!A85)</f>
        <v>PEQ-05</v>
      </c>
      <c r="B85" s="11" t="str">
        <f aca="false">IF('2 Competency Spine'!C85="","",'2 Competency Spine'!C85)</f>
        <v>Analyze manufacturing yield data</v>
      </c>
      <c r="C85" s="11" t="str">
        <f aca="false">IF('2 Competency Spine'!B85="","",'2 Competency Spine'!B85)</f>
        <v>Pathway</v>
      </c>
      <c r="D85" s="11" t="str">
        <f aca="false">IF('2 Competency Spine'!E85="","",'2 Competency Spine'!E85)</f>
        <v>Process Engineering &amp; Quality</v>
      </c>
      <c r="E85" s="11" t="str">
        <f aca="false">IF('2 Competency Spine'!O85="","",'2 Competency Spine'!O85)</f>
        <v>MNT235</v>
      </c>
      <c r="F85" s="19" t="n">
        <f aca="false">IF(TRIM(E85)="",0,LEN(E85)-LEN(SUBSTITUTE(E85,"/",""))+1)</f>
        <v>1</v>
      </c>
      <c r="G85" s="19" t="str">
        <f aca="false">IF(A85="","",IF(OR('2 Competency Spine'!M85&lt;&gt;"",'2 Competency Spine'!N85&lt;&gt;""),"Yes","No"))</f>
        <v>Yes</v>
      </c>
      <c r="H85" s="19" t="n">
        <f aca="false">'2 Competency Spine'!S85</f>
        <v>4</v>
      </c>
      <c r="I85" s="22" t="str">
        <f aca="false">IF(A85="","",IF(H85=0,"Gap: not taught anywhere",IF(F85=0,"Gap: no community college offering",IF(F85&gt;1,"Check: multiple CC courses",IF(G85="No","Covered: no high school on-ramp","Covered")))))</f>
        <v>Covered</v>
      </c>
      <c r="J85" s="21"/>
      <c r="K85" s="21"/>
      <c r="L85" s="21"/>
      <c r="M85" s="22" t="str">
        <f aca="false">IF(LEFT(I85,5)&lt;&gt;"Check","",IF(COUNTIF(J85:L85,"Yes")+COUNTIF(J85:L85,"No")&lt;3,"Answer the 3 questions",IF(COUNTIF(J85:L85,"Yes")=3,"Duplication: coordinate","Healthy on-ramp: keep")))</f>
        <v/>
      </c>
      <c r="N85" s="9"/>
      <c r="O85" s="9"/>
    </row>
    <row r="86" customFormat="false" ht="23.85" hidden="false" customHeight="false" outlineLevel="0" collapsed="false">
      <c r="A86" s="22" t="str">
        <f aca="false">IF('2 Competency Spine'!A86="","",'2 Competency Spine'!A86)</f>
        <v>PEQ-06</v>
      </c>
      <c r="B86" s="11" t="str">
        <f aca="false">IF('2 Competency Spine'!C86="","",'2 Competency Spine'!C86)</f>
        <v>Material science application</v>
      </c>
      <c r="C86" s="11" t="str">
        <f aca="false">IF('2 Competency Spine'!B86="","",'2 Competency Spine'!B86)</f>
        <v>Pathway</v>
      </c>
      <c r="D86" s="11" t="str">
        <f aca="false">IF('2 Competency Spine'!E86="","",'2 Competency Spine'!E86)</f>
        <v>Process Engineering &amp; Quality</v>
      </c>
      <c r="E86" s="11" t="str">
        <f aca="false">IF('2 Competency Spine'!O86="","",'2 Competency Spine'!O86)</f>
        <v>MET111 / SEM101</v>
      </c>
      <c r="F86" s="19" t="n">
        <f aca="false">IF(TRIM(E86)="",0,LEN(E86)-LEN(SUBSTITUTE(E86,"/",""))+1)</f>
        <v>2</v>
      </c>
      <c r="G86" s="19" t="str">
        <f aca="false">IF(A86="","",IF(OR('2 Competency Spine'!M86&lt;&gt;"",'2 Competency Spine'!N86&lt;&gt;""),"Yes","No"))</f>
        <v>No</v>
      </c>
      <c r="H86" s="19" t="n">
        <f aca="false">'2 Competency Spine'!S86</f>
        <v>3</v>
      </c>
      <c r="I86" s="22" t="str">
        <f aca="false">IF(A86="","",IF(H86=0,"Gap: not taught anywhere",IF(F86=0,"Gap: no community college offering",IF(F86&gt;1,"Check: multiple CC courses",IF(G86="No","Covered: no high school on-ramp","Covered")))))</f>
        <v>Check: multiple CC courses</v>
      </c>
      <c r="J86" s="21"/>
      <c r="K86" s="21"/>
      <c r="L86" s="21"/>
      <c r="M86" s="22" t="str">
        <f aca="false">IF(LEFT(I86,5)&lt;&gt;"Check","",IF(COUNTIF(J86:L86,"Yes")+COUNTIF(J86:L86,"No")&lt;3,"Answer the 3 questions",IF(COUNTIF(J86:L86,"Yes")=3,"Duplication: coordinate","Healthy on-ramp: keep")))</f>
        <v>Answer the 3 questions</v>
      </c>
      <c r="N86" s="9"/>
      <c r="O86" s="9"/>
    </row>
    <row r="87" customFormat="false" ht="23.85" hidden="false" customHeight="false" outlineLevel="0" collapsed="false">
      <c r="A87" s="22" t="str">
        <f aca="false">IF('2 Competency Spine'!A87="","",'2 Competency Spine'!A87)</f>
        <v>PEQ-07</v>
      </c>
      <c r="B87" s="11" t="str">
        <f aca="false">IF('2 Competency Spine'!C87="","",'2 Competency Spine'!C87)</f>
        <v>Yield loss mechanics</v>
      </c>
      <c r="C87" s="11" t="str">
        <f aca="false">IF('2 Competency Spine'!B87="","",'2 Competency Spine'!B87)</f>
        <v>Pathway</v>
      </c>
      <c r="D87" s="11" t="str">
        <f aca="false">IF('2 Competency Spine'!E87="","",'2 Competency Spine'!E87)</f>
        <v>Process Engineering &amp; Quality</v>
      </c>
      <c r="E87" s="11" t="str">
        <f aca="false">IF('2 Competency Spine'!O87="","",'2 Competency Spine'!O87)</f>
        <v>SEM110 / SEM210</v>
      </c>
      <c r="F87" s="19" t="n">
        <f aca="false">IF(TRIM(E87)="",0,LEN(E87)-LEN(SUBSTITUTE(E87,"/",""))+1)</f>
        <v>2</v>
      </c>
      <c r="G87" s="19" t="str">
        <f aca="false">IF(A87="","",IF(OR('2 Competency Spine'!M87&lt;&gt;"",'2 Competency Spine'!N87&lt;&gt;""),"Yes","No"))</f>
        <v>No</v>
      </c>
      <c r="H87" s="19" t="n">
        <f aca="false">'2 Competency Spine'!S87</f>
        <v>3</v>
      </c>
      <c r="I87" s="22" t="str">
        <f aca="false">IF(A87="","",IF(H87=0,"Gap: not taught anywhere",IF(F87=0,"Gap: no community college offering",IF(F87&gt;1,"Check: multiple CC courses",IF(G87="No","Covered: no high school on-ramp","Covered")))))</f>
        <v>Check: multiple CC courses</v>
      </c>
      <c r="J87" s="21"/>
      <c r="K87" s="21"/>
      <c r="L87" s="21"/>
      <c r="M87" s="22" t="str">
        <f aca="false">IF(LEFT(I87,5)&lt;&gt;"Check","",IF(COUNTIF(J87:L87,"Yes")+COUNTIF(J87:L87,"No")&lt;3,"Answer the 3 questions",IF(COUNTIF(J87:L87,"Yes")=3,"Duplication: coordinate","Healthy on-ramp: keep")))</f>
        <v>Answer the 3 questions</v>
      </c>
      <c r="N87" s="9"/>
      <c r="O87" s="9"/>
    </row>
    <row r="88" customFormat="false" ht="23.85" hidden="false" customHeight="false" outlineLevel="0" collapsed="false">
      <c r="A88" s="22" t="str">
        <f aca="false">IF('2 Competency Spine'!A88="","",'2 Competency Spine'!A88)</f>
        <v>PEQ-08</v>
      </c>
      <c r="B88" s="11" t="str">
        <f aca="false">IF('2 Competency Spine'!C88="","",'2 Competency Spine'!C88)</f>
        <v>Python for yield modeling</v>
      </c>
      <c r="C88" s="11" t="str">
        <f aca="false">IF('2 Competency Spine'!B88="","",'2 Competency Spine'!B88)</f>
        <v>Pathway</v>
      </c>
      <c r="D88" s="11" t="str">
        <f aca="false">IF('2 Competency Spine'!E88="","",'2 Competency Spine'!E88)</f>
        <v>Process Engineering &amp; Quality</v>
      </c>
      <c r="E88" s="11" t="str">
        <f aca="false">IF('2 Competency Spine'!O88="","",'2 Competency Spine'!O88)</f>
        <v>CIS122 / DAT110</v>
      </c>
      <c r="F88" s="19" t="n">
        <f aca="false">IF(TRIM(E88)="",0,LEN(E88)-LEN(SUBSTITUTE(E88,"/",""))+1)</f>
        <v>2</v>
      </c>
      <c r="G88" s="19" t="str">
        <f aca="false">IF(A88="","",IF(OR('2 Competency Spine'!M88&lt;&gt;"",'2 Competency Spine'!N88&lt;&gt;""),"Yes","No"))</f>
        <v>No</v>
      </c>
      <c r="H88" s="19" t="n">
        <f aca="false">'2 Competency Spine'!S88</f>
        <v>3</v>
      </c>
      <c r="I88" s="22" t="str">
        <f aca="false">IF(A88="","",IF(H88=0,"Gap: not taught anywhere",IF(F88=0,"Gap: no community college offering",IF(F88&gt;1,"Check: multiple CC courses",IF(G88="No","Covered: no high school on-ramp","Covered")))))</f>
        <v>Check: multiple CC courses</v>
      </c>
      <c r="J88" s="21"/>
      <c r="K88" s="21"/>
      <c r="L88" s="21"/>
      <c r="M88" s="22" t="str">
        <f aca="false">IF(LEFT(I88,5)&lt;&gt;"Check","",IF(COUNTIF(J88:L88,"Yes")+COUNTIF(J88:L88,"No")&lt;3,"Answer the 3 questions",IF(COUNTIF(J88:L88,"Yes")=3,"Duplication: coordinate","Healthy on-ramp: keep")))</f>
        <v>Answer the 3 questions</v>
      </c>
      <c r="N88" s="9"/>
      <c r="O88" s="9"/>
    </row>
    <row r="89" customFormat="false" ht="23.85" hidden="false" customHeight="false" outlineLevel="0" collapsed="false">
      <c r="A89" s="22" t="str">
        <f aca="false">IF('2 Competency Spine'!A89="","",'2 Competency Spine'!A89)</f>
        <v>PEQ-09</v>
      </c>
      <c r="B89" s="11" t="str">
        <f aca="false">IF('2 Competency Spine'!C89="","",'2 Competency Spine'!C89)</f>
        <v>Multivariate process data analysis</v>
      </c>
      <c r="C89" s="11" t="str">
        <f aca="false">IF('2 Competency Spine'!B89="","",'2 Competency Spine'!B89)</f>
        <v>Pathway</v>
      </c>
      <c r="D89" s="11" t="str">
        <f aca="false">IF('2 Competency Spine'!E89="","",'2 Competency Spine'!E89)</f>
        <v>Process Engineering &amp; Quality</v>
      </c>
      <c r="E89" s="11" t="str">
        <f aca="false">IF('2 Competency Spine'!O89="","",'2 Competency Spine'!O89)</f>
        <v>DAT110 / MET210</v>
      </c>
      <c r="F89" s="19" t="n">
        <f aca="false">IF(TRIM(E89)="",0,LEN(E89)-LEN(SUBSTITUTE(E89,"/",""))+1)</f>
        <v>2</v>
      </c>
      <c r="G89" s="19" t="str">
        <f aca="false">IF(A89="","",IF(OR('2 Competency Spine'!M89&lt;&gt;"",'2 Competency Spine'!N89&lt;&gt;""),"Yes","No"))</f>
        <v>No</v>
      </c>
      <c r="H89" s="19" t="n">
        <f aca="false">'2 Competency Spine'!S89</f>
        <v>3</v>
      </c>
      <c r="I89" s="22" t="str">
        <f aca="false">IF(A89="","",IF(H89=0,"Gap: not taught anywhere",IF(F89=0,"Gap: no community college offering",IF(F89&gt;1,"Check: multiple CC courses",IF(G89="No","Covered: no high school on-ramp","Covered")))))</f>
        <v>Check: multiple CC courses</v>
      </c>
      <c r="J89" s="21"/>
      <c r="K89" s="21"/>
      <c r="L89" s="21"/>
      <c r="M89" s="22" t="str">
        <f aca="false">IF(LEFT(I89,5)&lt;&gt;"Check","",IF(COUNTIF(J89:L89,"Yes")+COUNTIF(J89:L89,"No")&lt;3,"Answer the 3 questions",IF(COUNTIF(J89:L89,"Yes")=3,"Duplication: coordinate","Healthy on-ramp: keep")))</f>
        <v>Answer the 3 questions</v>
      </c>
      <c r="N89" s="9"/>
      <c r="O89" s="9"/>
    </row>
    <row r="90" customFormat="false" ht="23.85" hidden="false" customHeight="false" outlineLevel="0" collapsed="false">
      <c r="A90" s="22" t="str">
        <f aca="false">IF('2 Competency Spine'!A90="","",'2 Competency Spine'!A90)</f>
        <v>PEQ-10</v>
      </c>
      <c r="B90" s="11" t="str">
        <f aca="false">IF('2 Competency Spine'!C90="","",'2 Competency Spine'!C90)</f>
        <v>EPA chemical waste compliance</v>
      </c>
      <c r="C90" s="11" t="str">
        <f aca="false">IF('2 Competency Spine'!B90="","",'2 Competency Spine'!B90)</f>
        <v>Pathway</v>
      </c>
      <c r="D90" s="11" t="str">
        <f aca="false">IF('2 Competency Spine'!E90="","",'2 Competency Spine'!E90)</f>
        <v>Process Engineering &amp; Quality</v>
      </c>
      <c r="E90" s="11" t="str">
        <f aca="false">IF('2 Competency Spine'!O90="","",'2 Competency Spine'!O90)</f>
        <v>SEM101 / MET101</v>
      </c>
      <c r="F90" s="19" t="n">
        <f aca="false">IF(TRIM(E90)="",0,LEN(E90)-LEN(SUBSTITUTE(E90,"/",""))+1)</f>
        <v>2</v>
      </c>
      <c r="G90" s="19" t="str">
        <f aca="false">IF(A90="","",IF(OR('2 Competency Spine'!M90&lt;&gt;"",'2 Competency Spine'!N90&lt;&gt;""),"Yes","No"))</f>
        <v>No</v>
      </c>
      <c r="H90" s="19" t="n">
        <f aca="false">'2 Competency Spine'!S90</f>
        <v>3</v>
      </c>
      <c r="I90" s="22" t="str">
        <f aca="false">IF(A90="","",IF(H90=0,"Gap: not taught anywhere",IF(F90=0,"Gap: no community college offering",IF(F90&gt;1,"Check: multiple CC courses",IF(G90="No","Covered: no high school on-ramp","Covered")))))</f>
        <v>Check: multiple CC courses</v>
      </c>
      <c r="J90" s="21"/>
      <c r="K90" s="21"/>
      <c r="L90" s="21"/>
      <c r="M90" s="22" t="str">
        <f aca="false">IF(LEFT(I90,5)&lt;&gt;"Check","",IF(COUNTIF(J90:L90,"Yes")+COUNTIF(J90:L90,"No")&lt;3,"Answer the 3 questions",IF(COUNTIF(J90:L90,"Yes")=3,"Duplication: coordinate","Healthy on-ramp: keep")))</f>
        <v>Answer the 3 questions</v>
      </c>
      <c r="N90" s="9"/>
      <c r="O90" s="9"/>
    </row>
    <row r="91" customFormat="false" ht="23.85" hidden="false" customHeight="false" outlineLevel="0" collapsed="false">
      <c r="A91" s="22" t="str">
        <f aca="false">IF('2 Competency Spine'!A91="","",'2 Competency Spine'!A91)</f>
        <v>PEQ-11</v>
      </c>
      <c r="B91" s="11" t="str">
        <f aca="false">IF('2 Competency Spine'!C91="","",'2 Competency Spine'!C91)</f>
        <v>Process safety management</v>
      </c>
      <c r="C91" s="11" t="str">
        <f aca="false">IF('2 Competency Spine'!B91="","",'2 Competency Spine'!B91)</f>
        <v>Pathway</v>
      </c>
      <c r="D91" s="11" t="str">
        <f aca="false">IF('2 Competency Spine'!E91="","",'2 Competency Spine'!E91)</f>
        <v>Process Engineering &amp; Quality</v>
      </c>
      <c r="E91" s="11" t="str">
        <f aca="false">IF('2 Competency Spine'!O91="","",'2 Competency Spine'!O91)</f>
        <v>MET101 / GTC108</v>
      </c>
      <c r="F91" s="19" t="n">
        <f aca="false">IF(TRIM(E91)="",0,LEN(E91)-LEN(SUBSTITUTE(E91,"/",""))+1)</f>
        <v>2</v>
      </c>
      <c r="G91" s="19" t="str">
        <f aca="false">IF(A91="","",IF(OR('2 Competency Spine'!M91&lt;&gt;"",'2 Competency Spine'!N91&lt;&gt;""),"Yes","No"))</f>
        <v>No</v>
      </c>
      <c r="H91" s="19" t="n">
        <f aca="false">'2 Competency Spine'!S91</f>
        <v>3</v>
      </c>
      <c r="I91" s="22" t="str">
        <f aca="false">IF(A91="","",IF(H91=0,"Gap: not taught anywhere",IF(F91=0,"Gap: no community college offering",IF(F91&gt;1,"Check: multiple CC courses",IF(G91="No","Covered: no high school on-ramp","Covered")))))</f>
        <v>Check: multiple CC courses</v>
      </c>
      <c r="J91" s="21"/>
      <c r="K91" s="21"/>
      <c r="L91" s="21"/>
      <c r="M91" s="22" t="str">
        <f aca="false">IF(LEFT(I91,5)&lt;&gt;"Check","",IF(COUNTIF(J91:L91,"Yes")+COUNTIF(J91:L91,"No")&lt;3,"Answer the 3 questions",IF(COUNTIF(J91:L91,"Yes")=3,"Duplication: coordinate","Healthy on-ramp: keep")))</f>
        <v>Answer the 3 questions</v>
      </c>
      <c r="N91" s="9"/>
      <c r="O91" s="9"/>
    </row>
    <row r="92" customFormat="false" ht="23.85" hidden="false" customHeight="false" outlineLevel="0" collapsed="false">
      <c r="A92" s="22" t="str">
        <f aca="false">IF('2 Competency Spine'!A92="","",'2 Competency Spine'!A92)</f>
        <v>PEQ-12</v>
      </c>
      <c r="B92" s="11" t="str">
        <f aca="false">IF('2 Competency Spine'!C92="","",'2 Competency Spine'!C92)</f>
        <v>Thermal deposition tuning</v>
      </c>
      <c r="C92" s="11" t="str">
        <f aca="false">IF('2 Competency Spine'!B92="","",'2 Competency Spine'!B92)</f>
        <v>Pathway</v>
      </c>
      <c r="D92" s="11" t="str">
        <f aca="false">IF('2 Competency Spine'!E92="","",'2 Competency Spine'!E92)</f>
        <v>Process Engineering &amp; Quality</v>
      </c>
      <c r="E92" s="11" t="str">
        <f aca="false">IF('2 Competency Spine'!O92="","",'2 Competency Spine'!O92)</f>
        <v>SEM110 / SEM210</v>
      </c>
      <c r="F92" s="19" t="n">
        <f aca="false">IF(TRIM(E92)="",0,LEN(E92)-LEN(SUBSTITUTE(E92,"/",""))+1)</f>
        <v>2</v>
      </c>
      <c r="G92" s="19" t="str">
        <f aca="false">IF(A92="","",IF(OR('2 Competency Spine'!M92&lt;&gt;"",'2 Competency Spine'!N92&lt;&gt;""),"Yes","No"))</f>
        <v>No</v>
      </c>
      <c r="H92" s="19" t="n">
        <f aca="false">'2 Competency Spine'!S92</f>
        <v>3</v>
      </c>
      <c r="I92" s="22" t="str">
        <f aca="false">IF(A92="","",IF(H92=0,"Gap: not taught anywhere",IF(F92=0,"Gap: no community college offering",IF(F92&gt;1,"Check: multiple CC courses",IF(G92="No","Covered: no high school on-ramp","Covered")))))</f>
        <v>Check: multiple CC courses</v>
      </c>
      <c r="J92" s="21"/>
      <c r="K92" s="21"/>
      <c r="L92" s="21"/>
      <c r="M92" s="22" t="str">
        <f aca="false">IF(LEFT(I92,5)&lt;&gt;"Check","",IF(COUNTIF(J92:L92,"Yes")+COUNTIF(J92:L92,"No")&lt;3,"Answer the 3 questions",IF(COUNTIF(J92:L92,"Yes")=3,"Duplication: coordinate","Healthy on-ramp: keep")))</f>
        <v>Answer the 3 questions</v>
      </c>
      <c r="N92" s="9"/>
      <c r="O92" s="9"/>
    </row>
    <row r="93" customFormat="false" ht="23.85" hidden="false" customHeight="false" outlineLevel="0" collapsed="false">
      <c r="A93" s="22" t="str">
        <f aca="false">IF('2 Competency Spine'!A93="","",'2 Competency Spine'!A93)</f>
        <v>PEQ-13</v>
      </c>
      <c r="B93" s="11" t="str">
        <f aca="false">IF('2 Competency Spine'!C93="","",'2 Competency Spine'!C93)</f>
        <v>Epitaxy tool characterization</v>
      </c>
      <c r="C93" s="11" t="str">
        <f aca="false">IF('2 Competency Spine'!B93="","",'2 Competency Spine'!B93)</f>
        <v>Pathway</v>
      </c>
      <c r="D93" s="11" t="str">
        <f aca="false">IF('2 Competency Spine'!E93="","",'2 Competency Spine'!E93)</f>
        <v>Process Engineering &amp; Quality</v>
      </c>
      <c r="E93" s="11" t="str">
        <f aca="false">IF('2 Competency Spine'!O93="","",'2 Competency Spine'!O93)</f>
        <v>SEM210</v>
      </c>
      <c r="F93" s="19" t="n">
        <f aca="false">IF(TRIM(E93)="",0,LEN(E93)-LEN(SUBSTITUTE(E93,"/",""))+1)</f>
        <v>1</v>
      </c>
      <c r="G93" s="19" t="str">
        <f aca="false">IF(A93="","",IF(OR('2 Competency Spine'!M93&lt;&gt;"",'2 Competency Spine'!N93&lt;&gt;""),"Yes","No"))</f>
        <v>No</v>
      </c>
      <c r="H93" s="19" t="n">
        <f aca="false">'2 Competency Spine'!S93</f>
        <v>3</v>
      </c>
      <c r="I93" s="22" t="str">
        <f aca="false">IF(A93="","",IF(H93=0,"Gap: not taught anywhere",IF(F93=0,"Gap: no community college offering",IF(F93&gt;1,"Check: multiple CC courses",IF(G93="No","Covered: no high school on-ramp","Covered")))))</f>
        <v>Covered: no high school on-ramp</v>
      </c>
      <c r="J93" s="21"/>
      <c r="K93" s="21"/>
      <c r="L93" s="21"/>
      <c r="M93" s="22" t="str">
        <f aca="false">IF(LEFT(I93,5)&lt;&gt;"Check","",IF(COUNTIF(J93:L93,"Yes")+COUNTIF(J93:L93,"No")&lt;3,"Answer the 3 questions",IF(COUNTIF(J93:L93,"Yes")=3,"Duplication: coordinate","Healthy on-ramp: keep")))</f>
        <v/>
      </c>
      <c r="N93" s="9"/>
      <c r="O93" s="9"/>
    </row>
    <row r="94" customFormat="false" ht="23.85" hidden="false" customHeight="false" outlineLevel="0" collapsed="false">
      <c r="A94" s="22" t="str">
        <f aca="false">IF('2 Competency Spine'!A94="","",'2 Competency Spine'!A94)</f>
        <v>PEQ-14</v>
      </c>
      <c r="B94" s="11" t="str">
        <f aca="false">IF('2 Competency Spine'!C94="","",'2 Competency Spine'!C94)</f>
        <v>Defect root cause analysis</v>
      </c>
      <c r="C94" s="11" t="str">
        <f aca="false">IF('2 Competency Spine'!B94="","",'2 Competency Spine'!B94)</f>
        <v>Pathway</v>
      </c>
      <c r="D94" s="11" t="str">
        <f aca="false">IF('2 Competency Spine'!E94="","",'2 Competency Spine'!E94)</f>
        <v>Process Engineering &amp; Quality</v>
      </c>
      <c r="E94" s="11" t="str">
        <f aca="false">IF('2 Competency Spine'!O94="","",'2 Competency Spine'!O94)</f>
        <v>GTC108 / MET210</v>
      </c>
      <c r="F94" s="19" t="n">
        <f aca="false">IF(TRIM(E94)="",0,LEN(E94)-LEN(SUBSTITUTE(E94,"/",""))+1)</f>
        <v>2</v>
      </c>
      <c r="G94" s="19" t="str">
        <f aca="false">IF(A94="","",IF(OR('2 Competency Spine'!M94&lt;&gt;"",'2 Competency Spine'!N94&lt;&gt;""),"Yes","No"))</f>
        <v>No</v>
      </c>
      <c r="H94" s="19" t="n">
        <f aca="false">'2 Competency Spine'!S94</f>
        <v>3</v>
      </c>
      <c r="I94" s="22" t="str">
        <f aca="false">IF(A94="","",IF(H94=0,"Gap: not taught anywhere",IF(F94=0,"Gap: no community college offering",IF(F94&gt;1,"Check: multiple CC courses",IF(G94="No","Covered: no high school on-ramp","Covered")))))</f>
        <v>Check: multiple CC courses</v>
      </c>
      <c r="J94" s="21"/>
      <c r="K94" s="21"/>
      <c r="L94" s="21"/>
      <c r="M94" s="22" t="str">
        <f aca="false">IF(LEFT(I94,5)&lt;&gt;"Check","",IF(COUNTIF(J94:L94,"Yes")+COUNTIF(J94:L94,"No")&lt;3,"Answer the 3 questions",IF(COUNTIF(J94:L94,"Yes")=3,"Duplication: coordinate","Healthy on-ramp: keep")))</f>
        <v>Answer the 3 questions</v>
      </c>
      <c r="N94" s="9"/>
      <c r="O94" s="9"/>
    </row>
    <row r="95" customFormat="false" ht="23.85" hidden="false" customHeight="false" outlineLevel="0" collapsed="false">
      <c r="A95" s="22" t="str">
        <f aca="false">IF('2 Competency Spine'!A95="","",'2 Competency Spine'!A95)</f>
        <v>PEQ-15</v>
      </c>
      <c r="B95" s="11" t="str">
        <f aca="false">IF('2 Competency Spine'!C95="","",'2 Competency Spine'!C95)</f>
        <v>Design of experiments</v>
      </c>
      <c r="C95" s="11" t="str">
        <f aca="false">IF('2 Competency Spine'!B95="","",'2 Competency Spine'!B95)</f>
        <v>Pathway</v>
      </c>
      <c r="D95" s="11" t="str">
        <f aca="false">IF('2 Competency Spine'!E95="","",'2 Competency Spine'!E95)</f>
        <v>Process Engineering &amp; Quality</v>
      </c>
      <c r="E95" s="11" t="str">
        <f aca="false">IF('2 Competency Spine'!O95="","",'2 Competency Spine'!O95)</f>
        <v>GTC108 / SEM210</v>
      </c>
      <c r="F95" s="19" t="n">
        <f aca="false">IF(TRIM(E95)="",0,LEN(E95)-LEN(SUBSTITUTE(E95,"/",""))+1)</f>
        <v>2</v>
      </c>
      <c r="G95" s="19" t="str">
        <f aca="false">IF(A95="","",IF(OR('2 Competency Spine'!M95&lt;&gt;"",'2 Competency Spine'!N95&lt;&gt;""),"Yes","No"))</f>
        <v>No</v>
      </c>
      <c r="H95" s="19" t="n">
        <f aca="false">'2 Competency Spine'!S95</f>
        <v>3</v>
      </c>
      <c r="I95" s="22" t="str">
        <f aca="false">IF(A95="","",IF(H95=0,"Gap: not taught anywhere",IF(F95=0,"Gap: no community college offering",IF(F95&gt;1,"Check: multiple CC courses",IF(G95="No","Covered: no high school on-ramp","Covered")))))</f>
        <v>Check: multiple CC courses</v>
      </c>
      <c r="J95" s="21"/>
      <c r="K95" s="21"/>
      <c r="L95" s="21"/>
      <c r="M95" s="22" t="str">
        <f aca="false">IF(LEFT(I95,5)&lt;&gt;"Check","",IF(COUNTIF(J95:L95,"Yes")+COUNTIF(J95:L95,"No")&lt;3,"Answer the 3 questions",IF(COUNTIF(J95:L95,"Yes")=3,"Duplication: coordinate","Healthy on-ramp: keep")))</f>
        <v>Answer the 3 questions</v>
      </c>
      <c r="N95" s="9"/>
      <c r="O95" s="9"/>
    </row>
  </sheetData>
  <autoFilter ref="A5:O95"/>
  <mergeCells count="1">
    <mergeCell ref="A2:O2"/>
  </mergeCells>
  <conditionalFormatting sqref="I6:I95">
    <cfRule type="expression" priority="2" aboveAverage="0" equalAverage="0" bottom="0" percent="0" rank="0" text="" dxfId="6">
      <formula>LEFT(I6,3)="Gap"</formula>
    </cfRule>
    <cfRule type="expression" priority="3" aboveAverage="0" equalAverage="0" bottom="0" percent="0" rank="0" text="" dxfId="10">
      <formula>LEFT(I6,5)="Check"</formula>
    </cfRule>
    <cfRule type="expression" priority="4" aboveAverage="0" equalAverage="0" bottom="0" percent="0" rank="0" text="" dxfId="11">
      <formula>LEFT(I6,7)="Covered"</formula>
    </cfRule>
  </conditionalFormatting>
  <conditionalFormatting sqref="M6:M95">
    <cfRule type="cellIs" priority="5" operator="equal" aboveAverage="0" equalAverage="0" bottom="0" percent="0" rank="0" text="" dxfId="9">
      <formula>"Duplication: coordinate"</formula>
    </cfRule>
  </conditionalFormatting>
  <dataValidations count="1">
    <dataValidation allowBlank="true" errorStyle="stop" operator="between" showDropDown="false" showErrorMessage="false" showInputMessage="false" sqref="J6:L9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9D8F"/>
    <pageSetUpPr fitToPage="false"/>
  </sheetPr>
  <dimension ref="A1:H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3" min="3" style="0" width="20"/>
    <col collapsed="false" customWidth="true" hidden="false" outlineLevel="0" max="4" min="4" style="0" width="26"/>
    <col collapsed="false" customWidth="true" hidden="false" outlineLevel="0" max="5" min="5" style="0" width="40"/>
    <col collapsed="false" customWidth="true" hidden="false" outlineLevel="0" max="6" min="6" style="0" width="20"/>
    <col collapsed="false" customWidth="true" hidden="false" outlineLevel="0" max="7" min="7" style="0" width="14"/>
    <col collapsed="false" customWidth="true" hidden="false" outlineLevel="0" max="8" min="8" style="0" width="24"/>
  </cols>
  <sheetData>
    <row r="1" customFormat="false" ht="22.05" hidden="false" customHeight="false" outlineLevel="0" collapsed="false">
      <c r="A1" s="16" t="s">
        <v>551</v>
      </c>
    </row>
    <row r="2" customFormat="false" ht="31.5" hidden="false" customHeight="true" outlineLevel="0" collapsed="false">
      <c r="A2" s="2" t="s">
        <v>552</v>
      </c>
      <c r="B2" s="2"/>
      <c r="C2" s="2"/>
      <c r="D2" s="2"/>
      <c r="E2" s="2"/>
      <c r="F2" s="2"/>
      <c r="G2" s="2"/>
      <c r="H2" s="2"/>
    </row>
    <row r="3" customFormat="false" ht="15" hidden="false" customHeight="false" outlineLevel="0" collapsed="false">
      <c r="A3" s="8" t="s">
        <v>46</v>
      </c>
    </row>
    <row r="5" customFormat="false" ht="16.15" hidden="false" customHeight="false" outlineLevel="0" collapsed="false">
      <c r="A5" s="3" t="s">
        <v>553</v>
      </c>
    </row>
    <row r="6" customFormat="false" ht="43.5" hidden="false" customHeight="true" outlineLevel="0" collapsed="false">
      <c r="A6" s="4" t="s">
        <v>554</v>
      </c>
      <c r="B6" s="4" t="s">
        <v>555</v>
      </c>
      <c r="C6" s="4" t="s">
        <v>556</v>
      </c>
      <c r="D6" s="4" t="s">
        <v>557</v>
      </c>
      <c r="E6" s="4" t="s">
        <v>558</v>
      </c>
      <c r="F6" s="4" t="s">
        <v>59</v>
      </c>
    </row>
    <row r="7" customFormat="false" ht="30" hidden="false" customHeight="true" outlineLevel="0" collapsed="false">
      <c r="A7" s="18" t="s">
        <v>559</v>
      </c>
      <c r="B7" s="9" t="s">
        <v>560</v>
      </c>
      <c r="C7" s="9"/>
      <c r="D7" s="9"/>
      <c r="E7" s="9" t="s">
        <v>561</v>
      </c>
      <c r="F7" s="9"/>
    </row>
    <row r="8" customFormat="false" ht="30" hidden="false" customHeight="true" outlineLevel="0" collapsed="false">
      <c r="A8" s="18" t="s">
        <v>561</v>
      </c>
      <c r="B8" s="9" t="s">
        <v>562</v>
      </c>
      <c r="C8" s="9"/>
      <c r="D8" s="9"/>
      <c r="E8" s="9" t="s">
        <v>563</v>
      </c>
      <c r="F8" s="9"/>
    </row>
    <row r="9" customFormat="false" ht="30" hidden="false" customHeight="true" outlineLevel="0" collapsed="false">
      <c r="A9" s="18" t="s">
        <v>563</v>
      </c>
      <c r="B9" s="9" t="s">
        <v>564</v>
      </c>
      <c r="C9" s="9"/>
      <c r="D9" s="9"/>
      <c r="E9" s="9" t="s">
        <v>565</v>
      </c>
      <c r="F9" s="9"/>
    </row>
    <row r="10" customFormat="false" ht="30" hidden="false" customHeight="true" outlineLevel="0" collapsed="false">
      <c r="A10" s="18" t="s">
        <v>565</v>
      </c>
      <c r="B10" s="9" t="s">
        <v>566</v>
      </c>
      <c r="C10" s="9"/>
      <c r="D10" s="9"/>
      <c r="E10" s="9"/>
      <c r="F10" s="9"/>
    </row>
    <row r="11" customFormat="false" ht="15" hidden="false" customHeight="false" outlineLevel="0" collapsed="false">
      <c r="A11" s="9"/>
      <c r="B11" s="9"/>
      <c r="C11" s="9"/>
      <c r="D11" s="9"/>
      <c r="E11" s="9"/>
      <c r="F11" s="9"/>
    </row>
    <row r="12" customFormat="false" ht="15" hidden="false" customHeight="false" outlineLevel="0" collapsed="false">
      <c r="A12" s="9"/>
      <c r="B12" s="9"/>
      <c r="C12" s="9"/>
      <c r="D12" s="9"/>
      <c r="E12" s="9"/>
      <c r="F12" s="9"/>
    </row>
    <row r="15" customFormat="false" ht="16.15" hidden="false" customHeight="false" outlineLevel="0" collapsed="false">
      <c r="A15" s="3" t="s">
        <v>567</v>
      </c>
    </row>
    <row r="16" customFormat="false" ht="43.5" hidden="false" customHeight="true" outlineLevel="0" collapsed="false">
      <c r="A16" s="4" t="s">
        <v>568</v>
      </c>
      <c r="B16" s="4" t="s">
        <v>569</v>
      </c>
      <c r="C16" s="4" t="s">
        <v>570</v>
      </c>
      <c r="D16" s="4" t="s">
        <v>571</v>
      </c>
      <c r="E16" s="4" t="s">
        <v>572</v>
      </c>
      <c r="F16" s="4" t="s">
        <v>573</v>
      </c>
      <c r="G16" s="4" t="s">
        <v>508</v>
      </c>
      <c r="H16" s="4" t="s">
        <v>59</v>
      </c>
    </row>
    <row r="17" customFormat="false" ht="33.75" hidden="false" customHeight="true" outlineLevel="0" collapsed="false">
      <c r="A17" s="18" t="s">
        <v>574</v>
      </c>
      <c r="B17" s="9" t="s">
        <v>575</v>
      </c>
      <c r="C17" s="9" t="s">
        <v>559</v>
      </c>
      <c r="D17" s="9" t="s">
        <v>521</v>
      </c>
      <c r="E17" s="9" t="s">
        <v>576</v>
      </c>
      <c r="F17" s="9" t="s">
        <v>577</v>
      </c>
      <c r="G17" s="9"/>
      <c r="H17" s="9"/>
    </row>
    <row r="18" customFormat="false" ht="33.75" hidden="false" customHeight="true" outlineLevel="0" collapsed="false">
      <c r="A18" s="18" t="s">
        <v>578</v>
      </c>
      <c r="B18" s="9" t="s">
        <v>579</v>
      </c>
      <c r="C18" s="9" t="s">
        <v>559</v>
      </c>
      <c r="D18" s="9" t="s">
        <v>580</v>
      </c>
      <c r="E18" s="9" t="s">
        <v>581</v>
      </c>
      <c r="F18" s="9" t="s">
        <v>582</v>
      </c>
      <c r="G18" s="9"/>
      <c r="H18" s="9"/>
    </row>
    <row r="19" customFormat="false" ht="33.75" hidden="false" customHeight="true" outlineLevel="0" collapsed="false">
      <c r="A19" s="18" t="s">
        <v>583</v>
      </c>
      <c r="B19" s="9" t="s">
        <v>584</v>
      </c>
      <c r="C19" s="9" t="s">
        <v>559</v>
      </c>
      <c r="D19" s="9" t="s">
        <v>585</v>
      </c>
      <c r="E19" s="9" t="s">
        <v>586</v>
      </c>
      <c r="F19" s="9" t="s">
        <v>587</v>
      </c>
      <c r="G19" s="9"/>
      <c r="H19" s="9"/>
    </row>
    <row r="20" customFormat="false" ht="33.75" hidden="false" customHeight="true" outlineLevel="0" collapsed="false">
      <c r="A20" s="18" t="s">
        <v>588</v>
      </c>
      <c r="B20" s="9" t="s">
        <v>589</v>
      </c>
      <c r="C20" s="9" t="s">
        <v>559</v>
      </c>
      <c r="D20" s="9" t="s">
        <v>590</v>
      </c>
      <c r="E20" s="9" t="s">
        <v>591</v>
      </c>
      <c r="F20" s="9" t="s">
        <v>582</v>
      </c>
      <c r="G20" s="9"/>
      <c r="H20" s="9"/>
    </row>
    <row r="21" customFormat="false" ht="33.75" hidden="false" customHeight="true" outlineLevel="0" collapsed="false">
      <c r="A21" s="18" t="s">
        <v>592</v>
      </c>
      <c r="B21" s="9" t="s">
        <v>593</v>
      </c>
      <c r="C21" s="9" t="s">
        <v>565</v>
      </c>
      <c r="D21" s="9" t="s">
        <v>594</v>
      </c>
      <c r="E21" s="9" t="s">
        <v>595</v>
      </c>
      <c r="F21" s="9" t="s">
        <v>596</v>
      </c>
      <c r="G21" s="9"/>
      <c r="H21" s="9"/>
    </row>
    <row r="22" customFormat="false" ht="15" hidden="false" customHeight="false" outlineLevel="0" collapsed="false">
      <c r="A22" s="9"/>
      <c r="B22" s="9"/>
      <c r="C22" s="9"/>
      <c r="D22" s="9"/>
      <c r="E22" s="9"/>
      <c r="F22" s="9"/>
      <c r="G22" s="9"/>
      <c r="H22" s="9"/>
    </row>
    <row r="23" customFormat="false" ht="15" hidden="false" customHeight="false" outlineLevel="0" collapsed="false">
      <c r="A23" s="9"/>
      <c r="B23" s="9"/>
      <c r="C23" s="9"/>
      <c r="D23" s="9"/>
      <c r="E23" s="9"/>
      <c r="F23" s="9"/>
      <c r="G23" s="9"/>
      <c r="H23" s="9"/>
    </row>
    <row r="24" customFormat="false" ht="15" hidden="false" customHeight="false" outlineLevel="0" collapsed="false">
      <c r="A24" s="9"/>
      <c r="B24" s="9"/>
      <c r="C24" s="9"/>
      <c r="D24" s="9"/>
      <c r="E24" s="9"/>
      <c r="F24" s="9"/>
      <c r="G24" s="9"/>
      <c r="H24" s="9"/>
    </row>
    <row r="25" customFormat="false" ht="15" hidden="false" customHeight="false" outlineLevel="0" collapsed="false">
      <c r="A25" s="9"/>
      <c r="B25" s="9"/>
      <c r="C25" s="9"/>
      <c r="D25" s="9"/>
      <c r="E25" s="9"/>
      <c r="F25" s="9"/>
      <c r="G25" s="9"/>
      <c r="H25" s="9"/>
    </row>
    <row r="27" customFormat="false" ht="15" hidden="false" customHeight="false" outlineLevel="0" collapsed="false">
      <c r="A27" s="8" t="s">
        <v>597</v>
      </c>
    </row>
  </sheetData>
  <mergeCells count="1">
    <mergeCell ref="A2:H2"/>
  </mergeCells>
  <dataValidations count="3">
    <dataValidation allowBlank="true" errorStyle="stop" operator="between" showDropDown="false" showErrorMessage="false" showInputMessage="false" sqref="C17:C25" type="list">
      <formula1>$A$7:$A$12</formula1>
      <formula2>0</formula2>
    </dataValidation>
    <dataValidation allowBlank="true" errorStyle="stop" operator="between" showDropDown="false" showErrorMessage="false" showInputMessage="false" sqref="D17:D25" type="list">
      <formula1>"Dual enrollment,Direct enrollment,Prior learning assessment,Apprenticeship RTI crosswalk,Articulation,Other"</formula1>
      <formula2>0</formula2>
    </dataValidation>
    <dataValidation allowBlank="true" errorStyle="stop" operator="between" showDropDown="false" showErrorMessage="false" showInputMessage="false" sqref="G17:G25" type="list">
      <formula1>"Live,In development,Planned"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743A"/>
    <pageSetUpPr fitToPage="fals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2"/>
  </cols>
  <sheetData>
    <row r="1" customFormat="false" ht="22.05" hidden="false" customHeight="false" outlineLevel="0" collapsed="false">
      <c r="A1" s="16" t="s">
        <v>598</v>
      </c>
    </row>
    <row r="2" customFormat="false" ht="31.5" hidden="false" customHeight="true" outlineLevel="0" collapsed="false">
      <c r="A2" s="2" t="s">
        <v>599</v>
      </c>
      <c r="B2" s="2"/>
      <c r="C2" s="2"/>
      <c r="D2" s="2"/>
    </row>
    <row r="5" customFormat="false" ht="15" hidden="false" customHeight="false" outlineLevel="0" collapsed="false">
      <c r="A5" s="24" t="s">
        <v>600</v>
      </c>
    </row>
    <row r="6" customFormat="false" ht="15" hidden="false" customHeight="false" outlineLevel="0" collapsed="false">
      <c r="A6" s="25" t="s">
        <v>601</v>
      </c>
      <c r="B6" s="26" t="n">
        <f aca="false">COUNTIF('2 Competency Spine'!B6:B155,"Core")+COUNTIF('2 Competency Spine'!B6:B155,"Cluster")+COUNTIF('2 Competency Spine'!B6:B155,"Pathway")</f>
        <v>90</v>
      </c>
    </row>
    <row r="7" customFormat="false" ht="15" hidden="false" customHeight="false" outlineLevel="0" collapsed="false">
      <c r="A7" s="27" t="s">
        <v>602</v>
      </c>
      <c r="B7" s="26" t="n">
        <f aca="false">COUNTIF('2 Competency Spine'!B6:B155,"Core")</f>
        <v>6</v>
      </c>
    </row>
    <row r="8" customFormat="false" ht="15" hidden="false" customHeight="false" outlineLevel="0" collapsed="false">
      <c r="A8" s="27" t="s">
        <v>603</v>
      </c>
      <c r="B8" s="26" t="n">
        <f aca="false">COUNTIF('2 Competency Spine'!B6:B155,"Cluster")</f>
        <v>11</v>
      </c>
    </row>
    <row r="9" customFormat="false" ht="15" hidden="false" customHeight="false" outlineLevel="0" collapsed="false">
      <c r="A9" s="27" t="s">
        <v>604</v>
      </c>
      <c r="B9" s="26" t="n">
        <f aca="false">COUNTIF('2 Competency Spine'!B6:B155,"Pathway")</f>
        <v>73</v>
      </c>
    </row>
    <row r="11" customFormat="false" ht="15" hidden="false" customHeight="false" outlineLevel="0" collapsed="false">
      <c r="A11" s="24" t="s">
        <v>605</v>
      </c>
    </row>
    <row r="12" customFormat="false" ht="15" hidden="false" customHeight="false" outlineLevel="0" collapsed="false">
      <c r="A12" s="25" t="s">
        <v>606</v>
      </c>
      <c r="B12" s="26" t="n">
        <f aca="false">COUNTIF('4 Overlap and Gaps'!I6:I95,"Gap: not taught anywhere")</f>
        <v>0</v>
      </c>
    </row>
    <row r="13" customFormat="false" ht="15" hidden="false" customHeight="false" outlineLevel="0" collapsed="false">
      <c r="A13" s="25" t="s">
        <v>607</v>
      </c>
      <c r="B13" s="26" t="n">
        <f aca="false">COUNTIF('4 Overlap and Gaps'!I6:I95,"Gap: no community college offering")</f>
        <v>0</v>
      </c>
    </row>
    <row r="14" customFormat="false" ht="15" hidden="false" customHeight="false" outlineLevel="0" collapsed="false">
      <c r="A14" s="25" t="s">
        <v>608</v>
      </c>
      <c r="B14" s="26" t="n">
        <f aca="false">COUNTIF('4 Overlap and Gaps'!I6:I95,"Check: multiple CC courses")</f>
        <v>46</v>
      </c>
    </row>
    <row r="15" customFormat="false" ht="15" hidden="false" customHeight="false" outlineLevel="0" collapsed="false">
      <c r="A15" s="27" t="s">
        <v>609</v>
      </c>
      <c r="B15" s="26" t="n">
        <f aca="false">COUNTIF('4 Overlap and Gaps'!M6:M95,"Duplication: coordinate")</f>
        <v>0</v>
      </c>
    </row>
    <row r="16" customFormat="false" ht="15" hidden="false" customHeight="false" outlineLevel="0" collapsed="false">
      <c r="A16" s="25" t="s">
        <v>610</v>
      </c>
      <c r="B16" s="26" t="n">
        <f aca="false">COUNTIF('4 Overlap and Gaps'!I6:I95,"Covered: no high school on-ramp")</f>
        <v>7</v>
      </c>
    </row>
    <row r="17" customFormat="false" ht="15" hidden="false" customHeight="false" outlineLevel="0" collapsed="false">
      <c r="A17" s="25" t="s">
        <v>611</v>
      </c>
      <c r="B17" s="26" t="n">
        <f aca="false">COUNTIF('4 Overlap and Gaps'!I6:I95,"Covered")</f>
        <v>37</v>
      </c>
    </row>
    <row r="18" customFormat="false" ht="15" hidden="false" customHeight="false" outlineLevel="0" collapsed="false">
      <c r="A18" s="25" t="s">
        <v>612</v>
      </c>
      <c r="B18" s="26" t="n">
        <f aca="false">COUNTIF('2 Competency Spine'!S6:S95,"&lt;=1")</f>
        <v>0</v>
      </c>
    </row>
    <row r="20" customFormat="false" ht="15" hidden="false" customHeight="false" outlineLevel="0" collapsed="false">
      <c r="A20" s="24" t="s">
        <v>613</v>
      </c>
    </row>
    <row r="21" customFormat="false" ht="15" hidden="false" customHeight="false" outlineLevel="0" collapsed="false">
      <c r="A21" s="25" t="s">
        <v>614</v>
      </c>
      <c r="B21" s="26" t="n">
        <f aca="false">COUNTIF('3 Partner Roles'!K7:K19,"No lead")</f>
        <v>0</v>
      </c>
    </row>
    <row r="22" customFormat="false" ht="15" hidden="false" customHeight="false" outlineLevel="0" collapsed="false">
      <c r="A22" s="25" t="s">
        <v>615</v>
      </c>
      <c r="B22" s="26" t="n">
        <f aca="false">COUNTIF('3 Partner Roles'!K7:K19,"Multiple leads: clarify")</f>
        <v>1</v>
      </c>
    </row>
    <row r="24" customFormat="false" ht="15" hidden="false" customHeight="false" outlineLevel="0" collapsed="false">
      <c r="A24" s="24" t="s">
        <v>616</v>
      </c>
    </row>
    <row r="25" customFormat="false" ht="15" hidden="false" customHeight="false" outlineLevel="0" collapsed="false">
      <c r="A25" s="25" t="s">
        <v>617</v>
      </c>
      <c r="B25" s="26" t="n">
        <f aca="false">COUNTA('5 Entry Points'!A7:A12)</f>
        <v>4</v>
      </c>
    </row>
    <row r="26" customFormat="false" ht="15" hidden="false" customHeight="false" outlineLevel="0" collapsed="false">
      <c r="A26" s="25" t="s">
        <v>618</v>
      </c>
      <c r="B26" s="26" t="n">
        <f aca="false">COUNTA('5 Entry Points'!A17:A25)</f>
        <v>5</v>
      </c>
    </row>
    <row r="27" customFormat="false" ht="15" hidden="false" customHeight="false" outlineLevel="0" collapsed="false">
      <c r="A27" s="25" t="s">
        <v>619</v>
      </c>
      <c r="B27" s="26" t="n">
        <f aca="false">COUNTIF('5 Entry Points'!G17:G25,"Live")</f>
        <v>0</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0B8"/>
    <pageSetUpPr fitToPage="false"/>
  </sheetPr>
  <dimension ref="A1:S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7.13"/>
    <col collapsed="false" customWidth="true" hidden="false" outlineLevel="0" max="2" min="2" style="0" width="31"/>
    <col collapsed="false" customWidth="true" hidden="false" outlineLevel="0" max="3" min="3" style="0" width="12.63"/>
    <col collapsed="false" customWidth="true" hidden="false" outlineLevel="0" max="6" min="6" style="0" width="14.38"/>
    <col collapsed="false" customWidth="true" hidden="false" outlineLevel="0" max="7" min="7" style="0" width="37.25"/>
    <col collapsed="false" customWidth="true" hidden="false" outlineLevel="0" max="9" min="9" style="0" width="38.38"/>
    <col collapsed="false" customWidth="true" hidden="false" outlineLevel="0" max="10" min="10" style="0" width="18.5"/>
    <col collapsed="false" customWidth="true" hidden="false" outlineLevel="0" max="11" min="11" style="0" width="40.89"/>
    <col collapsed="false" customWidth="true" hidden="false" outlineLevel="0" max="12" min="12" style="0" width="19"/>
    <col collapsed="false" customWidth="true" hidden="false" outlineLevel="0" max="13" min="13" style="0" width="39.88"/>
    <col collapsed="false" customWidth="true" hidden="false" outlineLevel="0" max="14" min="14" style="0" width="34.25"/>
    <col collapsed="false" customWidth="true" hidden="false" outlineLevel="0" max="15" min="15" style="0" width="25.75"/>
    <col collapsed="false" customWidth="true" hidden="false" outlineLevel="0" max="19" min="16" style="0" width="30"/>
  </cols>
  <sheetData>
    <row r="1" customFormat="false" ht="15" hidden="false" customHeight="false" outlineLevel="0" collapsed="false">
      <c r="A1" s="8" t="s">
        <v>620</v>
      </c>
    </row>
    <row r="3" customFormat="false" ht="32.8" hidden="false" customHeight="false" outlineLevel="0" collapsed="false">
      <c r="B3" s="28" t="s">
        <v>621</v>
      </c>
      <c r="C3" s="28" t="s">
        <v>622</v>
      </c>
      <c r="D3" s="28" t="s">
        <v>623</v>
      </c>
      <c r="E3" s="28" t="s">
        <v>624</v>
      </c>
      <c r="F3" s="28" t="s">
        <v>625</v>
      </c>
      <c r="G3" s="28" t="s">
        <v>626</v>
      </c>
      <c r="H3" s="28" t="s">
        <v>627</v>
      </c>
      <c r="I3" s="28" t="s">
        <v>628</v>
      </c>
      <c r="J3" s="28" t="s">
        <v>629</v>
      </c>
      <c r="K3" s="28" t="s">
        <v>630</v>
      </c>
      <c r="L3" s="28" t="s">
        <v>631</v>
      </c>
      <c r="M3" s="28" t="s">
        <v>632</v>
      </c>
      <c r="N3" s="28" t="s">
        <v>633</v>
      </c>
      <c r="O3" s="28" t="s">
        <v>634</v>
      </c>
      <c r="P3" s="28" t="s">
        <v>635</v>
      </c>
      <c r="Q3" s="28" t="s">
        <v>636</v>
      </c>
      <c r="R3" s="28" t="s">
        <v>637</v>
      </c>
      <c r="S3" s="28" t="s">
        <v>638</v>
      </c>
    </row>
    <row r="4" customFormat="false" ht="15" hidden="false" customHeight="false" outlineLevel="0" collapsed="false">
      <c r="A4" s="28" t="s">
        <v>639</v>
      </c>
    </row>
    <row r="5" customFormat="false" ht="32.8" hidden="false" customHeight="true" outlineLevel="0" collapsed="false">
      <c r="A5" s="29" t="s">
        <v>105</v>
      </c>
      <c r="F5" s="30" t="n">
        <v>7.13</v>
      </c>
      <c r="G5" s="30" t="s">
        <v>640</v>
      </c>
      <c r="H5" s="31" t="s">
        <v>110</v>
      </c>
      <c r="I5" s="31" t="s">
        <v>641</v>
      </c>
      <c r="J5" s="31" t="s">
        <v>111</v>
      </c>
      <c r="K5" s="31" t="s">
        <v>642</v>
      </c>
      <c r="L5" s="31" t="s">
        <v>112</v>
      </c>
      <c r="M5" s="31" t="s">
        <v>643</v>
      </c>
      <c r="N5" s="30" t="s">
        <v>644</v>
      </c>
      <c r="O5" s="31" t="s">
        <v>645</v>
      </c>
      <c r="P5" s="31" t="s">
        <v>646</v>
      </c>
      <c r="Q5" s="31" t="s">
        <v>647</v>
      </c>
      <c r="R5" s="31" t="s">
        <v>648</v>
      </c>
      <c r="S5" s="31" t="s">
        <v>649</v>
      </c>
    </row>
    <row r="6" customFormat="false" ht="32.8" hidden="false" customHeight="false" outlineLevel="0" collapsed="false">
      <c r="A6" s="29"/>
      <c r="F6" s="30" t="n">
        <v>1.7</v>
      </c>
      <c r="G6" s="30" t="s">
        <v>650</v>
      </c>
      <c r="H6" s="31"/>
      <c r="I6" s="31"/>
      <c r="J6" s="31"/>
      <c r="K6" s="31"/>
      <c r="L6" s="31"/>
      <c r="M6" s="31"/>
      <c r="N6" s="30" t="s">
        <v>651</v>
      </c>
      <c r="O6" s="31"/>
      <c r="P6" s="31"/>
      <c r="Q6" s="31"/>
      <c r="R6" s="31"/>
      <c r="S6" s="31"/>
    </row>
    <row r="7" customFormat="false" ht="22.35" hidden="false" customHeight="true" outlineLevel="0" collapsed="false">
      <c r="A7" s="29"/>
      <c r="F7" s="30" t="n">
        <v>7.5</v>
      </c>
      <c r="G7" s="30" t="s">
        <v>652</v>
      </c>
      <c r="H7" s="31"/>
      <c r="I7" s="31"/>
      <c r="J7" s="31"/>
      <c r="K7" s="31"/>
      <c r="L7" s="31"/>
      <c r="M7" s="31"/>
      <c r="N7" s="31" t="s">
        <v>653</v>
      </c>
      <c r="O7" s="31"/>
      <c r="P7" s="31"/>
      <c r="Q7" s="31"/>
      <c r="R7" s="31"/>
      <c r="S7" s="31"/>
    </row>
    <row r="8" customFormat="false" ht="53.7" hidden="false" customHeight="false" outlineLevel="0" collapsed="false">
      <c r="A8" s="29"/>
      <c r="F8" s="30" t="n">
        <v>7.2</v>
      </c>
      <c r="G8" s="30" t="s">
        <v>654</v>
      </c>
      <c r="H8" s="31"/>
      <c r="I8" s="31"/>
      <c r="J8" s="31"/>
      <c r="K8" s="31"/>
      <c r="L8" s="31"/>
      <c r="M8" s="31"/>
      <c r="N8" s="31"/>
      <c r="O8" s="31"/>
      <c r="P8" s="31"/>
      <c r="Q8" s="31"/>
      <c r="R8" s="31"/>
      <c r="S8" s="31"/>
    </row>
    <row r="9" customFormat="false" ht="43.25" hidden="false" customHeight="false" outlineLevel="0" collapsed="false">
      <c r="A9" s="29"/>
      <c r="F9" s="30" t="n">
        <v>11.2</v>
      </c>
      <c r="G9" s="30" t="s">
        <v>655</v>
      </c>
      <c r="H9" s="31"/>
      <c r="I9" s="31"/>
      <c r="J9" s="31"/>
      <c r="K9" s="31"/>
      <c r="L9" s="31"/>
      <c r="M9" s="31"/>
      <c r="N9" s="31"/>
      <c r="O9" s="31"/>
      <c r="P9" s="31"/>
      <c r="Q9" s="31"/>
      <c r="R9" s="31"/>
      <c r="S9" s="31"/>
    </row>
    <row r="10" customFormat="false" ht="32.8" hidden="false" customHeight="false" outlineLevel="0" collapsed="false">
      <c r="A10" s="29"/>
      <c r="F10" s="30" t="n">
        <v>1.8</v>
      </c>
      <c r="G10" s="30" t="s">
        <v>656</v>
      </c>
      <c r="H10" s="31"/>
      <c r="I10" s="31"/>
      <c r="J10" s="31"/>
      <c r="K10" s="31"/>
      <c r="L10" s="31"/>
      <c r="M10" s="31"/>
      <c r="N10" s="31"/>
      <c r="O10" s="31"/>
      <c r="P10" s="31"/>
      <c r="Q10" s="31"/>
      <c r="R10" s="31"/>
      <c r="S10" s="31"/>
    </row>
    <row r="11" customFormat="false" ht="15" hidden="false" customHeight="true" outlineLevel="0" collapsed="false">
      <c r="A11" s="29" t="s">
        <v>114</v>
      </c>
      <c r="F11" s="31" t="n">
        <v>2.8</v>
      </c>
      <c r="G11" s="31" t="s">
        <v>657</v>
      </c>
      <c r="H11" s="31" t="s">
        <v>110</v>
      </c>
      <c r="I11" s="31" t="s">
        <v>641</v>
      </c>
      <c r="J11" s="31" t="s">
        <v>117</v>
      </c>
      <c r="K11" s="31" t="s">
        <v>658</v>
      </c>
      <c r="L11" s="31" t="s">
        <v>118</v>
      </c>
      <c r="M11" s="31" t="s">
        <v>659</v>
      </c>
      <c r="N11" s="30" t="s">
        <v>660</v>
      </c>
      <c r="O11" s="31" t="s">
        <v>661</v>
      </c>
      <c r="P11" s="31" t="s">
        <v>662</v>
      </c>
      <c r="Q11" s="31" t="s">
        <v>663</v>
      </c>
      <c r="R11" s="31" t="s">
        <v>664</v>
      </c>
      <c r="S11" s="31" t="s">
        <v>665</v>
      </c>
    </row>
    <row r="12" customFormat="false" ht="15" hidden="false" customHeight="false" outlineLevel="0" collapsed="false">
      <c r="A12" s="29"/>
      <c r="F12" s="31"/>
      <c r="G12" s="31"/>
      <c r="H12" s="31"/>
      <c r="I12" s="31"/>
      <c r="J12" s="31"/>
      <c r="K12" s="31"/>
      <c r="L12" s="31"/>
      <c r="M12" s="31"/>
      <c r="N12" s="30" t="s">
        <v>173</v>
      </c>
      <c r="O12" s="31"/>
      <c r="P12" s="31"/>
      <c r="Q12" s="31"/>
      <c r="R12" s="31"/>
      <c r="S12" s="31"/>
    </row>
    <row r="13" customFormat="false" ht="15" hidden="false" customHeight="false" outlineLevel="0" collapsed="false">
      <c r="A13" s="29"/>
      <c r="F13" s="31"/>
      <c r="G13" s="31"/>
      <c r="H13" s="31"/>
      <c r="I13" s="31"/>
      <c r="J13" s="31"/>
      <c r="K13" s="31"/>
      <c r="L13" s="31"/>
      <c r="M13" s="31"/>
      <c r="N13" s="30" t="s">
        <v>666</v>
      </c>
      <c r="O13" s="31"/>
      <c r="P13" s="31"/>
      <c r="Q13" s="31"/>
      <c r="R13" s="31"/>
      <c r="S13" s="31"/>
    </row>
    <row r="14" customFormat="false" ht="15" hidden="false" customHeight="true" outlineLevel="0" collapsed="false">
      <c r="A14" s="29" t="s">
        <v>120</v>
      </c>
      <c r="F14" s="31" t="n">
        <v>7.12</v>
      </c>
      <c r="G14" s="31" t="s">
        <v>667</v>
      </c>
      <c r="H14" s="31" t="s">
        <v>123</v>
      </c>
      <c r="I14" s="31" t="s">
        <v>668</v>
      </c>
      <c r="J14" s="31" t="s">
        <v>124</v>
      </c>
      <c r="K14" s="31" t="s">
        <v>669</v>
      </c>
      <c r="L14" s="31" t="s">
        <v>125</v>
      </c>
      <c r="M14" s="31" t="s">
        <v>670</v>
      </c>
      <c r="N14" s="30" t="s">
        <v>671</v>
      </c>
      <c r="O14" s="31" t="s">
        <v>672</v>
      </c>
      <c r="P14" s="31" t="s">
        <v>673</v>
      </c>
      <c r="Q14" s="31" t="s">
        <v>674</v>
      </c>
      <c r="R14" s="31" t="s">
        <v>675</v>
      </c>
      <c r="S14" s="31" t="s">
        <v>676</v>
      </c>
    </row>
    <row r="15" customFormat="false" ht="15" hidden="false" customHeight="false" outlineLevel="0" collapsed="false">
      <c r="A15" s="29"/>
      <c r="F15" s="31"/>
      <c r="G15" s="31"/>
      <c r="H15" s="31"/>
      <c r="I15" s="31"/>
      <c r="J15" s="31"/>
      <c r="K15" s="31"/>
      <c r="L15" s="31"/>
      <c r="M15" s="31"/>
      <c r="N15" s="30" t="s">
        <v>677</v>
      </c>
      <c r="O15" s="31"/>
      <c r="P15" s="31"/>
      <c r="Q15" s="31"/>
      <c r="R15" s="31"/>
      <c r="S15" s="31"/>
    </row>
    <row r="16" customFormat="false" ht="53.7" hidden="false" customHeight="false" outlineLevel="0" collapsed="false">
      <c r="A16" s="29"/>
      <c r="F16" s="30" t="n">
        <v>11.1</v>
      </c>
      <c r="G16" s="30" t="s">
        <v>678</v>
      </c>
      <c r="H16" s="31"/>
      <c r="I16" s="31"/>
      <c r="J16" s="31"/>
      <c r="K16" s="31"/>
      <c r="L16" s="31"/>
      <c r="M16" s="31"/>
      <c r="N16" s="30" t="s">
        <v>679</v>
      </c>
      <c r="O16" s="31"/>
      <c r="P16" s="31"/>
      <c r="Q16" s="31"/>
      <c r="R16" s="31"/>
      <c r="S16" s="31"/>
    </row>
    <row r="17" customFormat="false" ht="32.8" hidden="false" customHeight="true" outlineLevel="0" collapsed="false">
      <c r="A17" s="29" t="s">
        <v>127</v>
      </c>
      <c r="F17" s="30" t="n">
        <v>7.1</v>
      </c>
      <c r="G17" s="30" t="s">
        <v>680</v>
      </c>
      <c r="H17" s="31" t="s">
        <v>123</v>
      </c>
      <c r="I17" s="31" t="s">
        <v>681</v>
      </c>
      <c r="J17" s="31" t="s">
        <v>130</v>
      </c>
      <c r="K17" s="31" t="s">
        <v>682</v>
      </c>
      <c r="L17" s="31" t="s">
        <v>131</v>
      </c>
      <c r="M17" s="31" t="s">
        <v>683</v>
      </c>
      <c r="N17" s="30" t="s">
        <v>684</v>
      </c>
      <c r="O17" s="31" t="s">
        <v>685</v>
      </c>
      <c r="P17" s="31" t="s">
        <v>686</v>
      </c>
      <c r="Q17" s="31" t="s">
        <v>687</v>
      </c>
      <c r="R17" s="31" t="s">
        <v>688</v>
      </c>
      <c r="S17" s="31" t="s">
        <v>689</v>
      </c>
    </row>
    <row r="18" customFormat="false" ht="43.25" hidden="false" customHeight="false" outlineLevel="0" collapsed="false">
      <c r="A18" s="29"/>
      <c r="F18" s="30" t="n">
        <v>8.3</v>
      </c>
      <c r="G18" s="30" t="s">
        <v>690</v>
      </c>
      <c r="H18" s="31"/>
      <c r="I18" s="31"/>
      <c r="J18" s="31"/>
      <c r="K18" s="31"/>
      <c r="L18" s="31"/>
      <c r="M18" s="31"/>
      <c r="N18" s="30" t="s">
        <v>218</v>
      </c>
      <c r="O18" s="31"/>
      <c r="P18" s="31"/>
      <c r="Q18" s="31"/>
      <c r="R18" s="31"/>
      <c r="S18" s="31"/>
    </row>
    <row r="19" customFormat="false" ht="43.25" hidden="false" customHeight="true" outlineLevel="0" collapsed="false">
      <c r="A19" s="29"/>
      <c r="F19" s="30" t="n">
        <v>5.12</v>
      </c>
      <c r="G19" s="30" t="s">
        <v>691</v>
      </c>
      <c r="H19" s="31"/>
      <c r="I19" s="31"/>
      <c r="J19" s="31"/>
      <c r="K19" s="31"/>
      <c r="L19" s="31"/>
      <c r="M19" s="31"/>
      <c r="N19" s="31" t="s">
        <v>692</v>
      </c>
      <c r="O19" s="31"/>
      <c r="P19" s="31"/>
      <c r="Q19" s="31"/>
      <c r="R19" s="31"/>
      <c r="S19" s="31"/>
    </row>
    <row r="20" customFormat="false" ht="43.25" hidden="false" customHeight="false" outlineLevel="0" collapsed="false">
      <c r="A20" s="29"/>
      <c r="F20" s="30" t="n">
        <v>2.5</v>
      </c>
      <c r="G20" s="30" t="s">
        <v>693</v>
      </c>
      <c r="H20" s="31"/>
      <c r="I20" s="31"/>
      <c r="J20" s="31"/>
      <c r="K20" s="31"/>
      <c r="L20" s="31"/>
      <c r="M20" s="31"/>
      <c r="N20" s="31"/>
      <c r="O20" s="31"/>
      <c r="P20" s="31"/>
      <c r="Q20" s="31"/>
      <c r="R20" s="31"/>
      <c r="S20" s="31"/>
    </row>
    <row r="21" customFormat="false" ht="43.25" hidden="false" customHeight="false" outlineLevel="0" collapsed="false">
      <c r="A21" s="29"/>
      <c r="F21" s="30" t="s">
        <v>694</v>
      </c>
      <c r="G21" s="30" t="s">
        <v>695</v>
      </c>
      <c r="H21" s="31"/>
      <c r="I21" s="31"/>
      <c r="J21" s="31"/>
      <c r="K21" s="31"/>
      <c r="L21" s="31"/>
      <c r="M21" s="31"/>
      <c r="N21" s="31"/>
      <c r="O21" s="31"/>
      <c r="P21" s="31"/>
      <c r="Q21" s="31"/>
      <c r="R21" s="31"/>
      <c r="S21" s="31"/>
    </row>
    <row r="22" customFormat="false" ht="15" hidden="false" customHeight="true" outlineLevel="0" collapsed="false">
      <c r="A22" s="29" t="s">
        <v>133</v>
      </c>
      <c r="F22" s="31" t="n">
        <v>7.4</v>
      </c>
      <c r="G22" s="31" t="s">
        <v>696</v>
      </c>
      <c r="H22" s="31" t="s">
        <v>136</v>
      </c>
      <c r="I22" s="31" t="s">
        <v>697</v>
      </c>
      <c r="J22" s="31" t="s">
        <v>137</v>
      </c>
      <c r="K22" s="31" t="s">
        <v>698</v>
      </c>
      <c r="L22" s="31" t="s">
        <v>138</v>
      </c>
      <c r="M22" s="31" t="s">
        <v>699</v>
      </c>
      <c r="N22" s="30" t="s">
        <v>700</v>
      </c>
      <c r="O22" s="31" t="s">
        <v>701</v>
      </c>
      <c r="P22" s="31" t="s">
        <v>702</v>
      </c>
      <c r="Q22" s="31" t="s">
        <v>703</v>
      </c>
      <c r="R22" s="31" t="s">
        <v>704</v>
      </c>
      <c r="S22" s="31" t="s">
        <v>705</v>
      </c>
    </row>
    <row r="23" customFormat="false" ht="15" hidden="false" customHeight="false" outlineLevel="0" collapsed="false">
      <c r="A23" s="29"/>
      <c r="F23" s="31"/>
      <c r="G23" s="31"/>
      <c r="H23" s="31"/>
      <c r="I23" s="31"/>
      <c r="J23" s="31"/>
      <c r="K23" s="31"/>
      <c r="L23" s="31"/>
      <c r="M23" s="31"/>
      <c r="N23" s="30" t="s">
        <v>706</v>
      </c>
      <c r="O23" s="31"/>
      <c r="P23" s="31"/>
      <c r="Q23" s="31"/>
      <c r="R23" s="31"/>
      <c r="S23" s="31"/>
    </row>
    <row r="24" customFormat="false" ht="15" hidden="false" customHeight="false" outlineLevel="0" collapsed="false">
      <c r="A24" s="29"/>
      <c r="F24" s="31"/>
      <c r="G24" s="31"/>
      <c r="H24" s="31"/>
      <c r="I24" s="31"/>
      <c r="J24" s="31"/>
      <c r="K24" s="31"/>
      <c r="L24" s="31"/>
      <c r="M24" s="31"/>
      <c r="N24" s="30" t="s">
        <v>707</v>
      </c>
      <c r="O24" s="31"/>
      <c r="P24" s="31"/>
      <c r="Q24" s="31"/>
      <c r="R24" s="31"/>
      <c r="S24" s="31"/>
    </row>
    <row r="25" customFormat="false" ht="32.8" hidden="false" customHeight="true" outlineLevel="0" collapsed="false">
      <c r="A25" s="29" t="s">
        <v>140</v>
      </c>
      <c r="F25" s="30" t="s">
        <v>708</v>
      </c>
      <c r="G25" s="30" t="s">
        <v>709</v>
      </c>
      <c r="H25" s="31" t="s">
        <v>143</v>
      </c>
      <c r="I25" s="31" t="s">
        <v>710</v>
      </c>
      <c r="J25" s="31" t="s">
        <v>144</v>
      </c>
      <c r="K25" s="31" t="s">
        <v>711</v>
      </c>
      <c r="L25" s="31" t="s">
        <v>145</v>
      </c>
      <c r="M25" s="31" t="s">
        <v>712</v>
      </c>
      <c r="N25" s="30" t="s">
        <v>713</v>
      </c>
      <c r="O25" s="31" t="s">
        <v>714</v>
      </c>
      <c r="P25" s="31" t="s">
        <v>715</v>
      </c>
      <c r="Q25" s="31" t="s">
        <v>716</v>
      </c>
      <c r="R25" s="31" t="s">
        <v>717</v>
      </c>
      <c r="S25" s="31" t="s">
        <v>718</v>
      </c>
    </row>
    <row r="26" customFormat="false" ht="15" hidden="false" customHeight="true" outlineLevel="0" collapsed="false">
      <c r="A26" s="29"/>
      <c r="F26" s="31" t="n">
        <v>2.8</v>
      </c>
      <c r="G26" s="31" t="s">
        <v>719</v>
      </c>
      <c r="H26" s="31"/>
      <c r="I26" s="31"/>
      <c r="J26" s="31"/>
      <c r="K26" s="31"/>
      <c r="L26" s="31"/>
      <c r="M26" s="31"/>
      <c r="N26" s="30" t="s">
        <v>720</v>
      </c>
      <c r="O26" s="31"/>
      <c r="P26" s="31"/>
      <c r="Q26" s="31"/>
      <c r="R26" s="31"/>
      <c r="S26" s="31"/>
    </row>
    <row r="27" customFormat="false" ht="15" hidden="false" customHeight="false" outlineLevel="0" collapsed="false">
      <c r="A27" s="29"/>
      <c r="F27" s="31"/>
      <c r="G27" s="31"/>
      <c r="H27" s="31"/>
      <c r="I27" s="31"/>
      <c r="J27" s="31"/>
      <c r="K27" s="31"/>
      <c r="L27" s="31"/>
      <c r="M27" s="31"/>
      <c r="N27" s="30" t="s">
        <v>173</v>
      </c>
      <c r="O27" s="31"/>
      <c r="P27" s="31"/>
      <c r="Q27" s="31"/>
      <c r="R27" s="31"/>
      <c r="S27" s="31"/>
    </row>
    <row r="28" customFormat="false" ht="15" hidden="false" customHeight="false" outlineLevel="0" collapsed="false">
      <c r="A28" s="28" t="s">
        <v>721</v>
      </c>
    </row>
    <row r="29" customFormat="false" ht="85.05" hidden="false" customHeight="false" outlineLevel="0" collapsed="false">
      <c r="A29" s="28" t="s">
        <v>148</v>
      </c>
      <c r="B29" s="30" t="s">
        <v>149</v>
      </c>
      <c r="C29" s="30" t="s">
        <v>722</v>
      </c>
      <c r="D29" s="30" t="s">
        <v>722</v>
      </c>
      <c r="E29" s="30" t="s">
        <v>722</v>
      </c>
      <c r="F29" s="30" t="s">
        <v>150</v>
      </c>
      <c r="G29" s="30" t="s">
        <v>723</v>
      </c>
      <c r="H29" s="30" t="s">
        <v>123</v>
      </c>
      <c r="I29" s="30" t="s">
        <v>724</v>
      </c>
      <c r="J29" s="30" t="s">
        <v>152</v>
      </c>
      <c r="K29" s="30" t="s">
        <v>725</v>
      </c>
      <c r="L29" s="30" t="s">
        <v>153</v>
      </c>
      <c r="M29" s="30" t="s">
        <v>726</v>
      </c>
      <c r="N29" s="30" t="s">
        <v>151</v>
      </c>
      <c r="O29" s="30" t="s">
        <v>727</v>
      </c>
      <c r="P29" s="30" t="s">
        <v>728</v>
      </c>
      <c r="Q29" s="30" t="s">
        <v>729</v>
      </c>
      <c r="R29" s="30" t="s">
        <v>730</v>
      </c>
      <c r="S29" s="30" t="s">
        <v>731</v>
      </c>
    </row>
    <row r="30" customFormat="false" ht="64.15" hidden="false" customHeight="false" outlineLevel="0" collapsed="false">
      <c r="A30" s="28" t="s">
        <v>155</v>
      </c>
      <c r="B30" s="30" t="s">
        <v>156</v>
      </c>
      <c r="C30" s="30" t="s">
        <v>722</v>
      </c>
      <c r="D30" s="30" t="s">
        <v>722</v>
      </c>
      <c r="E30" s="30" t="s">
        <v>722</v>
      </c>
      <c r="F30" s="30" t="n">
        <v>7.9</v>
      </c>
      <c r="G30" s="30" t="s">
        <v>732</v>
      </c>
      <c r="H30" s="30" t="s">
        <v>159</v>
      </c>
      <c r="I30" s="30" t="s">
        <v>733</v>
      </c>
      <c r="J30" s="30" t="s">
        <v>160</v>
      </c>
      <c r="K30" s="30" t="s">
        <v>734</v>
      </c>
      <c r="L30" s="30" t="s">
        <v>161</v>
      </c>
      <c r="M30" s="30" t="s">
        <v>735</v>
      </c>
      <c r="N30" s="30" t="s">
        <v>158</v>
      </c>
      <c r="O30" s="30" t="s">
        <v>736</v>
      </c>
      <c r="P30" s="30" t="s">
        <v>737</v>
      </c>
      <c r="Q30" s="30" t="s">
        <v>738</v>
      </c>
      <c r="R30" s="30" t="s">
        <v>739</v>
      </c>
      <c r="S30" s="30" t="s">
        <v>740</v>
      </c>
    </row>
    <row r="31" customFormat="false" ht="85.05" hidden="false" customHeight="false" outlineLevel="0" collapsed="false">
      <c r="A31" s="28" t="s">
        <v>163</v>
      </c>
      <c r="B31" s="30" t="s">
        <v>156</v>
      </c>
      <c r="C31" s="30" t="s">
        <v>722</v>
      </c>
      <c r="D31" s="30" t="s">
        <v>722</v>
      </c>
      <c r="E31" s="30" t="s">
        <v>722</v>
      </c>
      <c r="F31" s="30" t="s">
        <v>164</v>
      </c>
      <c r="G31" s="30" t="s">
        <v>741</v>
      </c>
      <c r="H31" s="30" t="s">
        <v>166</v>
      </c>
      <c r="I31" s="30" t="s">
        <v>742</v>
      </c>
      <c r="J31" s="30" t="s">
        <v>167</v>
      </c>
      <c r="K31" s="30" t="s">
        <v>743</v>
      </c>
      <c r="L31" s="30" t="s">
        <v>168</v>
      </c>
      <c r="M31" s="30" t="s">
        <v>744</v>
      </c>
      <c r="N31" s="30" t="s">
        <v>165</v>
      </c>
      <c r="O31" s="30" t="s">
        <v>745</v>
      </c>
      <c r="P31" s="30" t="s">
        <v>746</v>
      </c>
      <c r="Q31" s="30" t="s">
        <v>747</v>
      </c>
      <c r="R31" s="30" t="s">
        <v>748</v>
      </c>
      <c r="S31" s="30" t="s">
        <v>749</v>
      </c>
    </row>
    <row r="32" customFormat="false" ht="64.15" hidden="false" customHeight="false" outlineLevel="0" collapsed="false">
      <c r="A32" s="28" t="s">
        <v>170</v>
      </c>
      <c r="B32" s="30" t="s">
        <v>171</v>
      </c>
      <c r="C32" s="30" t="s">
        <v>722</v>
      </c>
      <c r="D32" s="30" t="s">
        <v>722</v>
      </c>
      <c r="E32" s="30" t="s">
        <v>722</v>
      </c>
      <c r="F32" s="30" t="s">
        <v>172</v>
      </c>
      <c r="G32" s="30" t="s">
        <v>750</v>
      </c>
      <c r="H32" s="30" t="s">
        <v>174</v>
      </c>
      <c r="I32" s="30" t="s">
        <v>751</v>
      </c>
      <c r="J32" s="30" t="s">
        <v>175</v>
      </c>
      <c r="K32" s="30" t="s">
        <v>752</v>
      </c>
      <c r="L32" s="30" t="s">
        <v>176</v>
      </c>
      <c r="M32" s="30" t="s">
        <v>753</v>
      </c>
      <c r="N32" s="30" t="s">
        <v>173</v>
      </c>
      <c r="O32" s="30" t="s">
        <v>754</v>
      </c>
      <c r="P32" s="30" t="s">
        <v>755</v>
      </c>
      <c r="Q32" s="30" t="s">
        <v>756</v>
      </c>
      <c r="R32" s="30" t="s">
        <v>757</v>
      </c>
      <c r="S32" s="30" t="s">
        <v>758</v>
      </c>
    </row>
    <row r="33" customFormat="false" ht="74.6" hidden="false" customHeight="false" outlineLevel="0" collapsed="false">
      <c r="A33" s="28" t="s">
        <v>178</v>
      </c>
      <c r="B33" s="30" t="s">
        <v>171</v>
      </c>
      <c r="C33" s="30" t="s">
        <v>722</v>
      </c>
      <c r="D33" s="30" t="s">
        <v>722</v>
      </c>
      <c r="E33" s="30" t="s">
        <v>722</v>
      </c>
      <c r="F33" s="30" t="s">
        <v>179</v>
      </c>
      <c r="G33" s="30" t="s">
        <v>759</v>
      </c>
      <c r="H33" s="30" t="s">
        <v>181</v>
      </c>
      <c r="I33" s="30" t="s">
        <v>760</v>
      </c>
      <c r="J33" s="30" t="s">
        <v>182</v>
      </c>
      <c r="K33" s="30" t="s">
        <v>761</v>
      </c>
      <c r="L33" s="30" t="s">
        <v>183</v>
      </c>
      <c r="M33" s="30" t="s">
        <v>762</v>
      </c>
      <c r="N33" s="30" t="s">
        <v>180</v>
      </c>
      <c r="O33" s="30" t="s">
        <v>763</v>
      </c>
      <c r="P33" s="30" t="s">
        <v>764</v>
      </c>
      <c r="Q33" s="30" t="s">
        <v>765</v>
      </c>
      <c r="R33" s="30" t="s">
        <v>766</v>
      </c>
      <c r="S33" s="30" t="s">
        <v>767</v>
      </c>
    </row>
    <row r="34" customFormat="false" ht="105.95" hidden="false" customHeight="false" outlineLevel="0" collapsed="false">
      <c r="A34" s="28" t="s">
        <v>185</v>
      </c>
      <c r="B34" s="30" t="s">
        <v>186</v>
      </c>
      <c r="C34" s="30" t="s">
        <v>722</v>
      </c>
      <c r="D34" s="30" t="s">
        <v>722</v>
      </c>
      <c r="E34" s="30" t="s">
        <v>722</v>
      </c>
      <c r="F34" s="30" t="s">
        <v>187</v>
      </c>
      <c r="G34" s="30" t="s">
        <v>768</v>
      </c>
      <c r="H34" s="30" t="s">
        <v>123</v>
      </c>
      <c r="I34" s="30" t="s">
        <v>769</v>
      </c>
      <c r="J34" s="30" t="s">
        <v>189</v>
      </c>
      <c r="K34" s="30" t="s">
        <v>770</v>
      </c>
      <c r="L34" s="30" t="s">
        <v>190</v>
      </c>
      <c r="M34" s="30" t="s">
        <v>771</v>
      </c>
      <c r="N34" s="30" t="s">
        <v>188</v>
      </c>
      <c r="O34" s="30" t="s">
        <v>772</v>
      </c>
      <c r="P34" s="30" t="s">
        <v>773</v>
      </c>
      <c r="Q34" s="30" t="s">
        <v>774</v>
      </c>
      <c r="R34" s="30" t="s">
        <v>775</v>
      </c>
      <c r="S34" s="30" t="s">
        <v>776</v>
      </c>
    </row>
    <row r="35" customFormat="false" ht="74.6" hidden="false" customHeight="false" outlineLevel="0" collapsed="false">
      <c r="A35" s="28" t="s">
        <v>192</v>
      </c>
      <c r="B35" s="30" t="s">
        <v>186</v>
      </c>
      <c r="C35" s="30" t="s">
        <v>722</v>
      </c>
      <c r="D35" s="30" t="s">
        <v>722</v>
      </c>
      <c r="E35" s="30" t="s">
        <v>722</v>
      </c>
      <c r="F35" s="30" t="s">
        <v>193</v>
      </c>
      <c r="G35" s="30" t="s">
        <v>777</v>
      </c>
      <c r="H35" s="30" t="s">
        <v>194</v>
      </c>
      <c r="I35" s="30" t="s">
        <v>778</v>
      </c>
      <c r="J35" s="30" t="s">
        <v>195</v>
      </c>
      <c r="K35" s="30" t="s">
        <v>779</v>
      </c>
      <c r="L35" s="30" t="s">
        <v>196</v>
      </c>
      <c r="M35" s="30" t="s">
        <v>780</v>
      </c>
      <c r="N35" s="30" t="s">
        <v>180</v>
      </c>
      <c r="O35" s="30" t="s">
        <v>781</v>
      </c>
      <c r="P35" s="30" t="s">
        <v>782</v>
      </c>
      <c r="Q35" s="30" t="s">
        <v>783</v>
      </c>
      <c r="R35" s="30" t="s">
        <v>784</v>
      </c>
      <c r="S35" s="30" t="s">
        <v>785</v>
      </c>
    </row>
    <row r="36" customFormat="false" ht="64.15" hidden="false" customHeight="false" outlineLevel="0" collapsed="false">
      <c r="A36" s="28" t="s">
        <v>198</v>
      </c>
      <c r="B36" s="30" t="s">
        <v>199</v>
      </c>
      <c r="C36" s="30" t="s">
        <v>722</v>
      </c>
      <c r="D36" s="30" t="s">
        <v>722</v>
      </c>
      <c r="E36" s="30" t="s">
        <v>722</v>
      </c>
      <c r="F36" s="30" t="s">
        <v>200</v>
      </c>
      <c r="G36" s="30" t="s">
        <v>786</v>
      </c>
      <c r="H36" s="30" t="s">
        <v>136</v>
      </c>
      <c r="I36" s="30" t="s">
        <v>787</v>
      </c>
      <c r="J36" s="30" t="s">
        <v>201</v>
      </c>
      <c r="K36" s="30" t="s">
        <v>788</v>
      </c>
      <c r="L36" s="30" t="s">
        <v>202</v>
      </c>
      <c r="M36" s="30" t="s">
        <v>789</v>
      </c>
      <c r="N36" s="30" t="s">
        <v>165</v>
      </c>
      <c r="O36" s="30" t="s">
        <v>790</v>
      </c>
      <c r="P36" s="30" t="s">
        <v>791</v>
      </c>
      <c r="Q36" s="30" t="s">
        <v>792</v>
      </c>
      <c r="R36" s="30" t="s">
        <v>793</v>
      </c>
      <c r="S36" s="30" t="s">
        <v>794</v>
      </c>
    </row>
    <row r="37" customFormat="false" ht="64.15" hidden="false" customHeight="false" outlineLevel="0" collapsed="false">
      <c r="A37" s="28" t="s">
        <v>204</v>
      </c>
      <c r="B37" s="30" t="s">
        <v>199</v>
      </c>
      <c r="C37" s="30" t="s">
        <v>722</v>
      </c>
      <c r="D37" s="30" t="s">
        <v>722</v>
      </c>
      <c r="E37" s="30" t="s">
        <v>722</v>
      </c>
      <c r="F37" s="30" t="n">
        <v>3.4</v>
      </c>
      <c r="G37" s="30" t="s">
        <v>795</v>
      </c>
      <c r="H37" s="30" t="s">
        <v>166</v>
      </c>
      <c r="I37" s="30" t="s">
        <v>796</v>
      </c>
      <c r="J37" s="30" t="s">
        <v>207</v>
      </c>
      <c r="K37" s="30" t="s">
        <v>797</v>
      </c>
      <c r="L37" s="30" t="s">
        <v>208</v>
      </c>
      <c r="M37" s="30" t="s">
        <v>798</v>
      </c>
      <c r="N37" s="30" t="s">
        <v>206</v>
      </c>
      <c r="O37" s="30" t="s">
        <v>799</v>
      </c>
      <c r="P37" s="30" t="s">
        <v>800</v>
      </c>
      <c r="Q37" s="30" t="s">
        <v>801</v>
      </c>
      <c r="R37" s="30" t="s">
        <v>802</v>
      </c>
      <c r="S37" s="30" t="s">
        <v>803</v>
      </c>
    </row>
    <row r="38" customFormat="false" ht="64.15" hidden="false" customHeight="false" outlineLevel="0" collapsed="false">
      <c r="A38" s="28" t="s">
        <v>210</v>
      </c>
      <c r="B38" s="30" t="s">
        <v>211</v>
      </c>
      <c r="C38" s="30" t="s">
        <v>722</v>
      </c>
      <c r="D38" s="30" t="s">
        <v>722</v>
      </c>
      <c r="E38" s="30" t="s">
        <v>722</v>
      </c>
      <c r="F38" s="30" t="s">
        <v>212</v>
      </c>
      <c r="G38" s="30" t="s">
        <v>804</v>
      </c>
      <c r="H38" s="30" t="s">
        <v>213</v>
      </c>
      <c r="I38" s="30" t="s">
        <v>805</v>
      </c>
      <c r="J38" s="30" t="s">
        <v>214</v>
      </c>
      <c r="K38" s="30" t="s">
        <v>806</v>
      </c>
      <c r="L38" s="30" t="s">
        <v>215</v>
      </c>
      <c r="M38" s="30" t="s">
        <v>807</v>
      </c>
      <c r="N38" s="30" t="s">
        <v>180</v>
      </c>
      <c r="O38" s="30" t="s">
        <v>808</v>
      </c>
      <c r="P38" s="30" t="s">
        <v>809</v>
      </c>
      <c r="Q38" s="30" t="s">
        <v>810</v>
      </c>
      <c r="R38" s="30" t="s">
        <v>811</v>
      </c>
      <c r="S38" s="30" t="s">
        <v>812</v>
      </c>
    </row>
    <row r="39" customFormat="false" ht="64.15" hidden="false" customHeight="false" outlineLevel="0" collapsed="false">
      <c r="A39" s="28" t="s">
        <v>217</v>
      </c>
      <c r="B39" s="30" t="s">
        <v>211</v>
      </c>
      <c r="C39" s="30" t="s">
        <v>722</v>
      </c>
      <c r="D39" s="30" t="s">
        <v>722</v>
      </c>
      <c r="E39" s="30" t="s">
        <v>722</v>
      </c>
      <c r="F39" s="30" t="n">
        <v>2.8</v>
      </c>
      <c r="G39" s="30" t="s">
        <v>813</v>
      </c>
      <c r="H39" s="30" t="s">
        <v>181</v>
      </c>
      <c r="I39" s="30" t="s">
        <v>814</v>
      </c>
      <c r="J39" s="30" t="s">
        <v>219</v>
      </c>
      <c r="K39" s="30" t="s">
        <v>815</v>
      </c>
      <c r="L39" s="30" t="s">
        <v>183</v>
      </c>
      <c r="M39" s="30" t="s">
        <v>816</v>
      </c>
      <c r="N39" s="30" t="s">
        <v>218</v>
      </c>
      <c r="O39" s="30" t="s">
        <v>817</v>
      </c>
      <c r="P39" s="30" t="s">
        <v>818</v>
      </c>
      <c r="Q39" s="30" t="s">
        <v>819</v>
      </c>
      <c r="R39" s="30" t="s">
        <v>820</v>
      </c>
      <c r="S39" s="30" t="s">
        <v>821</v>
      </c>
    </row>
    <row r="41" customFormat="false" ht="22.35" hidden="false" customHeight="false" outlineLevel="0" collapsed="false">
      <c r="A41" s="28" t="s">
        <v>822</v>
      </c>
    </row>
    <row r="42" customFormat="false" ht="43.25" hidden="false" customHeight="false" outlineLevel="0" collapsed="false">
      <c r="A42" s="28" t="s">
        <v>222</v>
      </c>
      <c r="C42" s="30" t="s">
        <v>823</v>
      </c>
      <c r="D42" s="30" t="s">
        <v>62</v>
      </c>
      <c r="E42" s="30" t="n">
        <v>47.0105</v>
      </c>
      <c r="F42" s="30" t="s">
        <v>223</v>
      </c>
      <c r="G42" s="30" t="s">
        <v>824</v>
      </c>
      <c r="H42" s="30" t="s">
        <v>224</v>
      </c>
      <c r="I42" s="30" t="s">
        <v>825</v>
      </c>
      <c r="J42" s="30" t="s">
        <v>225</v>
      </c>
      <c r="K42" s="30" t="s">
        <v>826</v>
      </c>
      <c r="L42" s="30" t="s">
        <v>226</v>
      </c>
      <c r="M42" s="30" t="s">
        <v>827</v>
      </c>
      <c r="P42" s="30" t="s">
        <v>828</v>
      </c>
    </row>
    <row r="43" customFormat="false" ht="43.25" hidden="false" customHeight="false" outlineLevel="0" collapsed="false">
      <c r="A43" s="28" t="s">
        <v>228</v>
      </c>
      <c r="C43" s="30" t="s">
        <v>823</v>
      </c>
      <c r="D43" s="30" t="s">
        <v>62</v>
      </c>
      <c r="E43" s="30" t="n">
        <v>47.0105</v>
      </c>
      <c r="F43" s="30" t="s">
        <v>229</v>
      </c>
      <c r="G43" s="30" t="s">
        <v>829</v>
      </c>
      <c r="H43" s="30" t="s">
        <v>230</v>
      </c>
      <c r="I43" s="30" t="s">
        <v>830</v>
      </c>
      <c r="J43" s="30" t="s">
        <v>231</v>
      </c>
      <c r="K43" s="30" t="s">
        <v>831</v>
      </c>
      <c r="L43" s="30" t="s">
        <v>226</v>
      </c>
      <c r="M43" s="30" t="s">
        <v>832</v>
      </c>
      <c r="P43" s="30" t="s">
        <v>833</v>
      </c>
    </row>
    <row r="44" customFormat="false" ht="43.25" hidden="false" customHeight="false" outlineLevel="0" collapsed="false">
      <c r="A44" s="28" t="s">
        <v>233</v>
      </c>
      <c r="C44" s="30" t="s">
        <v>823</v>
      </c>
      <c r="D44" s="30" t="s">
        <v>62</v>
      </c>
      <c r="E44" s="30" t="n">
        <v>47.0105</v>
      </c>
      <c r="F44" s="30" t="n">
        <v>7.12</v>
      </c>
      <c r="G44" s="30" t="s">
        <v>834</v>
      </c>
      <c r="H44" s="30" t="s">
        <v>235</v>
      </c>
      <c r="I44" s="30" t="s">
        <v>835</v>
      </c>
      <c r="J44" s="30" t="s">
        <v>236</v>
      </c>
      <c r="K44" s="30" t="s">
        <v>836</v>
      </c>
      <c r="L44" s="30" t="s">
        <v>161</v>
      </c>
      <c r="M44" s="30" t="s">
        <v>837</v>
      </c>
      <c r="P44" s="30" t="s">
        <v>838</v>
      </c>
    </row>
    <row r="45" customFormat="false" ht="43.25" hidden="false" customHeight="false" outlineLevel="0" collapsed="false">
      <c r="A45" s="28" t="s">
        <v>238</v>
      </c>
      <c r="C45" s="30" t="s">
        <v>823</v>
      </c>
      <c r="D45" s="30" t="s">
        <v>62</v>
      </c>
      <c r="E45" s="30" t="n">
        <v>47.0105</v>
      </c>
      <c r="F45" s="30" t="n">
        <v>2.6</v>
      </c>
      <c r="G45" s="30" t="s">
        <v>839</v>
      </c>
      <c r="H45" s="30" t="s">
        <v>240</v>
      </c>
      <c r="I45" s="30" t="s">
        <v>840</v>
      </c>
      <c r="J45" s="30" t="s">
        <v>241</v>
      </c>
      <c r="K45" s="30" t="s">
        <v>841</v>
      </c>
      <c r="L45" s="30" t="s">
        <v>183</v>
      </c>
      <c r="M45" s="30" t="s">
        <v>842</v>
      </c>
      <c r="P45" s="30" t="s">
        <v>843</v>
      </c>
    </row>
    <row r="46" customFormat="false" ht="43.25" hidden="false" customHeight="false" outlineLevel="0" collapsed="false">
      <c r="A46" s="28" t="s">
        <v>243</v>
      </c>
      <c r="C46" s="30" t="s">
        <v>823</v>
      </c>
      <c r="D46" s="30" t="s">
        <v>62</v>
      </c>
      <c r="E46" s="30" t="n">
        <v>47.0105</v>
      </c>
      <c r="F46" s="30" t="s">
        <v>244</v>
      </c>
      <c r="G46" s="30" t="s">
        <v>844</v>
      </c>
      <c r="H46" s="30" t="s">
        <v>240</v>
      </c>
      <c r="I46" s="30" t="s">
        <v>845</v>
      </c>
      <c r="J46" s="30" t="s">
        <v>245</v>
      </c>
      <c r="K46" s="30" t="s">
        <v>846</v>
      </c>
      <c r="L46" s="30" t="s">
        <v>183</v>
      </c>
      <c r="M46" s="30" t="s">
        <v>847</v>
      </c>
      <c r="P46" s="30" t="s">
        <v>848</v>
      </c>
    </row>
    <row r="47" customFormat="false" ht="43.25" hidden="false" customHeight="false" outlineLevel="0" collapsed="false">
      <c r="A47" s="28" t="s">
        <v>247</v>
      </c>
      <c r="C47" s="30" t="s">
        <v>823</v>
      </c>
      <c r="D47" s="30" t="s">
        <v>62</v>
      </c>
      <c r="E47" s="30" t="n">
        <v>47.0105</v>
      </c>
      <c r="F47" s="30" t="n">
        <v>7.11</v>
      </c>
      <c r="G47" s="30" t="s">
        <v>849</v>
      </c>
      <c r="H47" s="30" t="s">
        <v>194</v>
      </c>
      <c r="I47" s="30" t="s">
        <v>850</v>
      </c>
      <c r="J47" s="30" t="s">
        <v>249</v>
      </c>
      <c r="K47" s="30" t="s">
        <v>851</v>
      </c>
      <c r="L47" s="30" t="s">
        <v>196</v>
      </c>
      <c r="M47" s="30" t="s">
        <v>852</v>
      </c>
      <c r="P47" s="30" t="s">
        <v>853</v>
      </c>
    </row>
    <row r="48" customFormat="false" ht="43.25" hidden="false" customHeight="false" outlineLevel="0" collapsed="false">
      <c r="A48" s="28" t="s">
        <v>251</v>
      </c>
      <c r="C48" s="30" t="s">
        <v>823</v>
      </c>
      <c r="D48" s="30" t="s">
        <v>62</v>
      </c>
      <c r="E48" s="30" t="n">
        <v>47.0105</v>
      </c>
      <c r="F48" s="30" t="s">
        <v>252</v>
      </c>
      <c r="G48" s="30" t="s">
        <v>854</v>
      </c>
      <c r="H48" s="30" t="s">
        <v>230</v>
      </c>
      <c r="I48" s="30" t="s">
        <v>855</v>
      </c>
      <c r="J48" s="30" t="s">
        <v>253</v>
      </c>
      <c r="K48" s="30" t="s">
        <v>856</v>
      </c>
      <c r="L48" s="30" t="s">
        <v>226</v>
      </c>
      <c r="M48" s="30" t="s">
        <v>857</v>
      </c>
      <c r="P48" s="30" t="s">
        <v>858</v>
      </c>
    </row>
    <row r="49" customFormat="false" ht="43.25" hidden="false" customHeight="false" outlineLevel="0" collapsed="false">
      <c r="A49" s="28" t="s">
        <v>255</v>
      </c>
      <c r="C49" s="30" t="s">
        <v>823</v>
      </c>
      <c r="D49" s="30" t="s">
        <v>62</v>
      </c>
      <c r="E49" s="30" t="n">
        <v>47.0105</v>
      </c>
      <c r="F49" s="30" t="s">
        <v>256</v>
      </c>
      <c r="G49" s="30" t="s">
        <v>859</v>
      </c>
      <c r="H49" s="30" t="s">
        <v>224</v>
      </c>
      <c r="I49" s="30" t="s">
        <v>860</v>
      </c>
      <c r="J49" s="30" t="s">
        <v>257</v>
      </c>
      <c r="K49" s="30" t="s">
        <v>861</v>
      </c>
      <c r="L49" s="30" t="s">
        <v>226</v>
      </c>
      <c r="M49" s="30" t="s">
        <v>862</v>
      </c>
      <c r="P49" s="30" t="s">
        <v>863</v>
      </c>
    </row>
    <row r="50" customFormat="false" ht="43.25" hidden="false" customHeight="false" outlineLevel="0" collapsed="false">
      <c r="A50" s="28" t="s">
        <v>259</v>
      </c>
      <c r="B50" s="30" t="s">
        <v>149</v>
      </c>
      <c r="C50" s="30" t="s">
        <v>864</v>
      </c>
      <c r="H50" s="30" t="s">
        <v>260</v>
      </c>
      <c r="I50" s="30" t="s">
        <v>865</v>
      </c>
      <c r="J50" s="30" t="s">
        <v>261</v>
      </c>
      <c r="K50" s="30" t="s">
        <v>866</v>
      </c>
      <c r="L50" s="30" t="s">
        <v>226</v>
      </c>
      <c r="M50" s="30" t="s">
        <v>867</v>
      </c>
      <c r="P50" s="30" t="s">
        <v>868</v>
      </c>
    </row>
    <row r="51" customFormat="false" ht="43.25" hidden="false" customHeight="false" outlineLevel="0" collapsed="false">
      <c r="A51" s="28" t="s">
        <v>263</v>
      </c>
      <c r="B51" s="30" t="s">
        <v>149</v>
      </c>
      <c r="C51" s="30" t="s">
        <v>864</v>
      </c>
      <c r="H51" s="30" t="s">
        <v>260</v>
      </c>
      <c r="I51" s="30" t="s">
        <v>869</v>
      </c>
      <c r="J51" s="30" t="s">
        <v>264</v>
      </c>
      <c r="K51" s="30" t="s">
        <v>870</v>
      </c>
      <c r="L51" s="30" t="s">
        <v>265</v>
      </c>
      <c r="M51" s="30" t="s">
        <v>871</v>
      </c>
      <c r="P51" s="30" t="s">
        <v>872</v>
      </c>
    </row>
    <row r="52" customFormat="false" ht="53.7" hidden="false" customHeight="false" outlineLevel="0" collapsed="false">
      <c r="A52" s="28" t="s">
        <v>267</v>
      </c>
      <c r="B52" s="30" t="s">
        <v>156</v>
      </c>
      <c r="C52" s="30" t="s">
        <v>864</v>
      </c>
      <c r="H52" s="30" t="s">
        <v>260</v>
      </c>
      <c r="I52" s="30" t="s">
        <v>873</v>
      </c>
      <c r="J52" s="30" t="s">
        <v>268</v>
      </c>
      <c r="K52" s="30" t="s">
        <v>874</v>
      </c>
      <c r="L52" s="30" t="s">
        <v>161</v>
      </c>
      <c r="M52" s="30" t="s">
        <v>875</v>
      </c>
      <c r="P52" s="30" t="s">
        <v>876</v>
      </c>
    </row>
    <row r="53" customFormat="false" ht="43.25" hidden="false" customHeight="false" outlineLevel="0" collapsed="false">
      <c r="A53" s="28" t="s">
        <v>270</v>
      </c>
      <c r="B53" s="30" t="s">
        <v>156</v>
      </c>
      <c r="C53" s="30" t="s">
        <v>864</v>
      </c>
      <c r="H53" s="30" t="s">
        <v>260</v>
      </c>
      <c r="I53" s="30" t="s">
        <v>877</v>
      </c>
      <c r="J53" s="30" t="s">
        <v>253</v>
      </c>
      <c r="K53" s="30" t="s">
        <v>878</v>
      </c>
      <c r="L53" s="30" t="s">
        <v>226</v>
      </c>
      <c r="M53" s="30" t="s">
        <v>879</v>
      </c>
      <c r="P53" s="30" t="s">
        <v>880</v>
      </c>
    </row>
    <row r="54" customFormat="false" ht="53.7" hidden="false" customHeight="false" outlineLevel="0" collapsed="false">
      <c r="A54" s="28" t="s">
        <v>272</v>
      </c>
      <c r="B54" s="30" t="s">
        <v>171</v>
      </c>
      <c r="C54" s="30" t="s">
        <v>864</v>
      </c>
      <c r="H54" s="30" t="s">
        <v>273</v>
      </c>
      <c r="I54" s="30" t="s">
        <v>881</v>
      </c>
      <c r="J54" s="30" t="s">
        <v>274</v>
      </c>
      <c r="K54" s="30" t="s">
        <v>882</v>
      </c>
      <c r="L54" s="30" t="s">
        <v>183</v>
      </c>
      <c r="M54" s="30" t="s">
        <v>883</v>
      </c>
      <c r="P54" s="30" t="s">
        <v>884</v>
      </c>
    </row>
    <row r="55" customFormat="false" ht="43.25" hidden="false" customHeight="false" outlineLevel="0" collapsed="false">
      <c r="A55" s="28" t="s">
        <v>276</v>
      </c>
      <c r="B55" s="30" t="s">
        <v>171</v>
      </c>
      <c r="C55" s="30" t="s">
        <v>864</v>
      </c>
      <c r="H55" s="30" t="s">
        <v>273</v>
      </c>
      <c r="I55" s="30" t="s">
        <v>885</v>
      </c>
      <c r="J55" s="30" t="s">
        <v>277</v>
      </c>
      <c r="K55" s="30" t="s">
        <v>886</v>
      </c>
      <c r="L55" s="30" t="s">
        <v>183</v>
      </c>
      <c r="M55" s="30" t="s">
        <v>887</v>
      </c>
      <c r="P55" s="30" t="s">
        <v>888</v>
      </c>
    </row>
    <row r="56" customFormat="false" ht="43.25" hidden="false" customHeight="false" outlineLevel="0" collapsed="false">
      <c r="A56" s="28" t="s">
        <v>279</v>
      </c>
      <c r="B56" s="30" t="s">
        <v>186</v>
      </c>
      <c r="C56" s="30" t="s">
        <v>864</v>
      </c>
      <c r="H56" s="30" t="s">
        <v>260</v>
      </c>
      <c r="I56" s="30" t="s">
        <v>889</v>
      </c>
      <c r="J56" s="30" t="s">
        <v>231</v>
      </c>
      <c r="K56" s="30" t="s">
        <v>890</v>
      </c>
      <c r="L56" s="30" t="s">
        <v>226</v>
      </c>
      <c r="M56" s="30" t="s">
        <v>891</v>
      </c>
      <c r="P56" s="30" t="s">
        <v>892</v>
      </c>
    </row>
    <row r="57" customFormat="false" ht="43.25" hidden="false" customHeight="false" outlineLevel="0" collapsed="false">
      <c r="A57" s="28" t="s">
        <v>281</v>
      </c>
      <c r="B57" s="30" t="s">
        <v>186</v>
      </c>
      <c r="C57" s="30" t="s">
        <v>864</v>
      </c>
      <c r="H57" s="30" t="s">
        <v>282</v>
      </c>
      <c r="I57" s="30" t="s">
        <v>893</v>
      </c>
      <c r="J57" s="30" t="s">
        <v>231</v>
      </c>
      <c r="K57" s="30" t="s">
        <v>894</v>
      </c>
      <c r="L57" s="30" t="s">
        <v>226</v>
      </c>
      <c r="M57" s="30" t="s">
        <v>895</v>
      </c>
      <c r="P57" s="30" t="s">
        <v>896</v>
      </c>
    </row>
    <row r="58" customFormat="false" ht="43.25" hidden="false" customHeight="false" outlineLevel="0" collapsed="false">
      <c r="A58" s="28" t="s">
        <v>284</v>
      </c>
      <c r="B58" s="30" t="s">
        <v>199</v>
      </c>
      <c r="C58" s="30" t="s">
        <v>864</v>
      </c>
      <c r="H58" s="30" t="s">
        <v>282</v>
      </c>
      <c r="I58" s="30" t="s">
        <v>897</v>
      </c>
      <c r="J58" s="30" t="s">
        <v>231</v>
      </c>
      <c r="K58" s="30" t="s">
        <v>898</v>
      </c>
      <c r="L58" s="30" t="s">
        <v>226</v>
      </c>
      <c r="M58" s="30" t="s">
        <v>899</v>
      </c>
      <c r="P58" s="30" t="s">
        <v>900</v>
      </c>
    </row>
    <row r="59" customFormat="false" ht="43.25" hidden="false" customHeight="false" outlineLevel="0" collapsed="false">
      <c r="A59" s="28" t="s">
        <v>286</v>
      </c>
      <c r="B59" s="30" t="s">
        <v>199</v>
      </c>
      <c r="C59" s="30" t="s">
        <v>864</v>
      </c>
      <c r="H59" s="30" t="s">
        <v>260</v>
      </c>
      <c r="I59" s="30" t="s">
        <v>901</v>
      </c>
      <c r="J59" s="30" t="s">
        <v>287</v>
      </c>
      <c r="K59" s="30" t="s">
        <v>902</v>
      </c>
      <c r="L59" s="30" t="s">
        <v>190</v>
      </c>
      <c r="M59" s="30" t="s">
        <v>903</v>
      </c>
      <c r="P59" s="30" t="s">
        <v>904</v>
      </c>
    </row>
    <row r="61" customFormat="false" ht="22.35" hidden="false" customHeight="false" outlineLevel="0" collapsed="false">
      <c r="A61" s="28" t="s">
        <v>905</v>
      </c>
    </row>
    <row r="62" customFormat="false" ht="53.7" hidden="false" customHeight="false" outlineLevel="0" collapsed="false">
      <c r="A62" s="28" t="s">
        <v>289</v>
      </c>
      <c r="B62" s="30" t="s">
        <v>906</v>
      </c>
      <c r="E62" s="30" t="n">
        <v>11.1003</v>
      </c>
      <c r="F62" s="30" t="s">
        <v>290</v>
      </c>
      <c r="G62" s="30" t="s">
        <v>907</v>
      </c>
      <c r="H62" s="30" t="s">
        <v>291</v>
      </c>
      <c r="I62" s="30" t="s">
        <v>908</v>
      </c>
      <c r="J62" s="30" t="s">
        <v>292</v>
      </c>
      <c r="K62" s="30" t="s">
        <v>909</v>
      </c>
      <c r="L62" s="30" t="s">
        <v>176</v>
      </c>
      <c r="M62" s="30" t="s">
        <v>910</v>
      </c>
      <c r="Q62" s="30" t="s">
        <v>911</v>
      </c>
    </row>
    <row r="63" customFormat="false" ht="43.25" hidden="false" customHeight="false" outlineLevel="0" collapsed="false">
      <c r="A63" s="28" t="s">
        <v>294</v>
      </c>
      <c r="B63" s="30" t="s">
        <v>906</v>
      </c>
      <c r="C63" s="30" t="s">
        <v>912</v>
      </c>
      <c r="D63" s="30" t="s">
        <v>66</v>
      </c>
      <c r="F63" s="30" t="n">
        <v>11.2</v>
      </c>
      <c r="G63" s="30" t="s">
        <v>913</v>
      </c>
      <c r="H63" s="30" t="s">
        <v>296</v>
      </c>
      <c r="I63" s="30" t="s">
        <v>914</v>
      </c>
      <c r="J63" s="30" t="s">
        <v>297</v>
      </c>
      <c r="K63" s="30" t="s">
        <v>915</v>
      </c>
      <c r="L63" s="30" t="s">
        <v>176</v>
      </c>
      <c r="M63" s="30" t="s">
        <v>916</v>
      </c>
      <c r="Q63" s="30" t="s">
        <v>917</v>
      </c>
    </row>
    <row r="64" customFormat="false" ht="53.7" hidden="false" customHeight="false" outlineLevel="0" collapsed="false">
      <c r="A64" s="28" t="s">
        <v>299</v>
      </c>
      <c r="B64" s="30" t="s">
        <v>906</v>
      </c>
      <c r="C64" s="30" t="s">
        <v>912</v>
      </c>
      <c r="F64" s="30" t="n">
        <v>9.8</v>
      </c>
      <c r="G64" s="30" t="s">
        <v>918</v>
      </c>
      <c r="H64" s="30" t="s">
        <v>136</v>
      </c>
      <c r="I64" s="30" t="s">
        <v>919</v>
      </c>
      <c r="J64" s="30" t="s">
        <v>301</v>
      </c>
      <c r="K64" s="30" t="s">
        <v>920</v>
      </c>
      <c r="L64" s="30" t="s">
        <v>202</v>
      </c>
      <c r="M64" s="30" t="s">
        <v>921</v>
      </c>
      <c r="Q64" s="30" t="s">
        <v>922</v>
      </c>
    </row>
    <row r="65" customFormat="false" ht="53.7" hidden="false" customHeight="false" outlineLevel="0" collapsed="false">
      <c r="A65" s="28" t="s">
        <v>303</v>
      </c>
      <c r="B65" s="30" t="s">
        <v>906</v>
      </c>
      <c r="C65" s="30" t="s">
        <v>912</v>
      </c>
      <c r="D65" s="30" t="s">
        <v>66</v>
      </c>
      <c r="E65" s="30" t="n">
        <v>11.1003</v>
      </c>
      <c r="F65" s="30" t="n">
        <v>11.3</v>
      </c>
      <c r="G65" s="30" t="s">
        <v>923</v>
      </c>
      <c r="H65" s="30" t="s">
        <v>166</v>
      </c>
      <c r="I65" s="30" t="s">
        <v>924</v>
      </c>
      <c r="J65" s="30" t="s">
        <v>305</v>
      </c>
      <c r="K65" s="30" t="s">
        <v>925</v>
      </c>
      <c r="L65" s="30" t="s">
        <v>161</v>
      </c>
      <c r="M65" s="30" t="s">
        <v>926</v>
      </c>
      <c r="Q65" s="30" t="s">
        <v>927</v>
      </c>
    </row>
    <row r="66" customFormat="false" ht="43.25" hidden="false" customHeight="false" outlineLevel="0" collapsed="false">
      <c r="A66" s="28" t="s">
        <v>307</v>
      </c>
      <c r="B66" s="30" t="s">
        <v>149</v>
      </c>
      <c r="C66" s="30" t="s">
        <v>912</v>
      </c>
      <c r="H66" s="30" t="s">
        <v>308</v>
      </c>
      <c r="I66" s="30" t="s">
        <v>928</v>
      </c>
      <c r="J66" s="30" t="s">
        <v>309</v>
      </c>
      <c r="K66" s="30" t="s">
        <v>929</v>
      </c>
      <c r="L66" s="30" t="s">
        <v>161</v>
      </c>
      <c r="M66" s="30" t="s">
        <v>930</v>
      </c>
      <c r="Q66" s="30" t="s">
        <v>931</v>
      </c>
    </row>
    <row r="67" customFormat="false" ht="53.7" hidden="false" customHeight="false" outlineLevel="0" collapsed="false">
      <c r="A67" s="28" t="s">
        <v>311</v>
      </c>
      <c r="B67" s="30" t="s">
        <v>156</v>
      </c>
      <c r="C67" s="30" t="s">
        <v>912</v>
      </c>
      <c r="H67" s="30" t="s">
        <v>312</v>
      </c>
      <c r="I67" s="30" t="s">
        <v>932</v>
      </c>
      <c r="J67" s="30" t="s">
        <v>313</v>
      </c>
      <c r="K67" s="30" t="s">
        <v>933</v>
      </c>
      <c r="L67" s="30" t="s">
        <v>314</v>
      </c>
      <c r="M67" s="30" t="s">
        <v>934</v>
      </c>
      <c r="Q67" s="30" t="s">
        <v>935</v>
      </c>
    </row>
    <row r="68" customFormat="false" ht="43.25" hidden="false" customHeight="false" outlineLevel="0" collapsed="false">
      <c r="A68" s="28" t="s">
        <v>316</v>
      </c>
      <c r="B68" s="30" t="s">
        <v>156</v>
      </c>
      <c r="C68" s="30" t="s">
        <v>912</v>
      </c>
      <c r="H68" s="30" t="s">
        <v>308</v>
      </c>
      <c r="I68" s="30" t="s">
        <v>936</v>
      </c>
      <c r="J68" s="30" t="s">
        <v>317</v>
      </c>
      <c r="K68" s="30" t="s">
        <v>937</v>
      </c>
      <c r="L68" s="30" t="s">
        <v>161</v>
      </c>
      <c r="M68" s="30" t="s">
        <v>938</v>
      </c>
      <c r="Q68" s="30" t="s">
        <v>939</v>
      </c>
    </row>
    <row r="69" customFormat="false" ht="53.7" hidden="false" customHeight="false" outlineLevel="0" collapsed="false">
      <c r="A69" s="28" t="s">
        <v>319</v>
      </c>
      <c r="B69" s="30" t="s">
        <v>171</v>
      </c>
      <c r="C69" s="30" t="s">
        <v>912</v>
      </c>
      <c r="H69" s="30" t="s">
        <v>312</v>
      </c>
      <c r="I69" s="30" t="s">
        <v>940</v>
      </c>
      <c r="J69" s="30" t="s">
        <v>320</v>
      </c>
      <c r="K69" s="30" t="s">
        <v>941</v>
      </c>
      <c r="L69" s="30" t="s">
        <v>314</v>
      </c>
      <c r="M69" s="30" t="s">
        <v>942</v>
      </c>
      <c r="Q69" s="30" t="s">
        <v>943</v>
      </c>
    </row>
    <row r="70" customFormat="false" ht="53.7" hidden="false" customHeight="false" outlineLevel="0" collapsed="false">
      <c r="A70" s="28" t="s">
        <v>322</v>
      </c>
      <c r="B70" s="30" t="s">
        <v>171</v>
      </c>
      <c r="C70" s="30" t="s">
        <v>912</v>
      </c>
      <c r="H70" s="30" t="s">
        <v>312</v>
      </c>
      <c r="I70" s="30" t="s">
        <v>944</v>
      </c>
      <c r="J70" s="30" t="s">
        <v>323</v>
      </c>
      <c r="K70" s="30" t="s">
        <v>945</v>
      </c>
      <c r="L70" s="30" t="s">
        <v>314</v>
      </c>
      <c r="M70" s="30" t="s">
        <v>946</v>
      </c>
      <c r="Q70" s="30" t="s">
        <v>947</v>
      </c>
    </row>
    <row r="71" customFormat="false" ht="43.25" hidden="false" customHeight="false" outlineLevel="0" collapsed="false">
      <c r="A71" s="28" t="s">
        <v>325</v>
      </c>
      <c r="B71" s="30" t="s">
        <v>186</v>
      </c>
      <c r="C71" s="30" t="s">
        <v>912</v>
      </c>
      <c r="H71" s="30" t="s">
        <v>312</v>
      </c>
      <c r="I71" s="30" t="s">
        <v>948</v>
      </c>
      <c r="J71" s="30" t="s">
        <v>326</v>
      </c>
      <c r="K71" s="30" t="s">
        <v>949</v>
      </c>
      <c r="L71" s="30" t="s">
        <v>161</v>
      </c>
      <c r="M71" s="30" t="s">
        <v>950</v>
      </c>
      <c r="Q71" s="30" t="s">
        <v>951</v>
      </c>
    </row>
    <row r="72" customFormat="false" ht="53.7" hidden="false" customHeight="false" outlineLevel="0" collapsed="false">
      <c r="A72" s="28" t="s">
        <v>328</v>
      </c>
      <c r="B72" s="30" t="s">
        <v>186</v>
      </c>
      <c r="C72" s="30" t="s">
        <v>912</v>
      </c>
      <c r="H72" s="30" t="s">
        <v>308</v>
      </c>
      <c r="I72" s="30" t="s">
        <v>952</v>
      </c>
      <c r="J72" s="30" t="s">
        <v>329</v>
      </c>
      <c r="K72" s="30" t="s">
        <v>953</v>
      </c>
      <c r="L72" s="30" t="s">
        <v>226</v>
      </c>
      <c r="M72" s="30" t="s">
        <v>954</v>
      </c>
      <c r="Q72" s="30" t="s">
        <v>955</v>
      </c>
    </row>
    <row r="73" customFormat="false" ht="53.7" hidden="false" customHeight="false" outlineLevel="0" collapsed="false">
      <c r="A73" s="28" t="s">
        <v>331</v>
      </c>
      <c r="B73" s="30" t="s">
        <v>199</v>
      </c>
      <c r="C73" s="30" t="s">
        <v>912</v>
      </c>
      <c r="H73" s="30" t="s">
        <v>332</v>
      </c>
      <c r="I73" s="30" t="s">
        <v>956</v>
      </c>
      <c r="J73" s="30" t="s">
        <v>333</v>
      </c>
      <c r="K73" s="30" t="s">
        <v>957</v>
      </c>
      <c r="L73" s="30" t="s">
        <v>161</v>
      </c>
      <c r="M73" s="30" t="s">
        <v>958</v>
      </c>
      <c r="Q73" s="30" t="s">
        <v>959</v>
      </c>
    </row>
    <row r="74" customFormat="false" ht="43.25" hidden="false" customHeight="false" outlineLevel="0" collapsed="false">
      <c r="A74" s="28" t="s">
        <v>335</v>
      </c>
      <c r="B74" s="30" t="s">
        <v>199</v>
      </c>
      <c r="C74" s="30" t="s">
        <v>912</v>
      </c>
      <c r="H74" s="30" t="s">
        <v>336</v>
      </c>
      <c r="I74" s="30" t="s">
        <v>960</v>
      </c>
      <c r="J74" s="30" t="s">
        <v>337</v>
      </c>
      <c r="K74" s="30" t="s">
        <v>961</v>
      </c>
      <c r="L74" s="30" t="s">
        <v>161</v>
      </c>
      <c r="M74" s="30" t="s">
        <v>962</v>
      </c>
      <c r="Q74" s="30" t="s">
        <v>963</v>
      </c>
    </row>
    <row r="75" customFormat="false" ht="53.7" hidden="false" customHeight="false" outlineLevel="0" collapsed="false">
      <c r="A75" s="28" t="s">
        <v>339</v>
      </c>
      <c r="B75" s="30" t="s">
        <v>149</v>
      </c>
      <c r="C75" s="30" t="s">
        <v>964</v>
      </c>
      <c r="H75" s="30" t="s">
        <v>312</v>
      </c>
      <c r="I75" s="30" t="s">
        <v>965</v>
      </c>
      <c r="J75" s="30" t="s">
        <v>340</v>
      </c>
      <c r="K75" s="30" t="s">
        <v>966</v>
      </c>
      <c r="L75" s="30" t="s">
        <v>314</v>
      </c>
      <c r="M75" s="30" t="s">
        <v>967</v>
      </c>
      <c r="Q75" s="30" t="s">
        <v>968</v>
      </c>
    </row>
    <row r="77" customFormat="false" ht="22.35" hidden="false" customHeight="false" outlineLevel="0" collapsed="false">
      <c r="A77" s="28" t="s">
        <v>969</v>
      </c>
    </row>
    <row r="78" customFormat="false" ht="64.15" hidden="false" customHeight="false" outlineLevel="0" collapsed="false">
      <c r="A78" s="28" t="s">
        <v>342</v>
      </c>
      <c r="B78" s="30" t="s">
        <v>906</v>
      </c>
      <c r="F78" s="30" t="n">
        <v>7.12</v>
      </c>
      <c r="G78" s="30" t="s">
        <v>970</v>
      </c>
      <c r="H78" s="30" t="s">
        <v>230</v>
      </c>
      <c r="I78" s="30" t="s">
        <v>971</v>
      </c>
      <c r="J78" s="30" t="s">
        <v>343</v>
      </c>
      <c r="K78" s="30" t="s">
        <v>972</v>
      </c>
      <c r="L78" s="30" t="s">
        <v>190</v>
      </c>
      <c r="M78" s="30" t="s">
        <v>973</v>
      </c>
      <c r="R78" s="30" t="s">
        <v>974</v>
      </c>
    </row>
    <row r="79" customFormat="false" ht="53.7" hidden="false" customHeight="false" outlineLevel="0" collapsed="false">
      <c r="A79" s="28" t="s">
        <v>345</v>
      </c>
      <c r="B79" s="30" t="s">
        <v>906</v>
      </c>
      <c r="C79" s="30" t="s">
        <v>69</v>
      </c>
      <c r="D79" s="30" t="s">
        <v>70</v>
      </c>
      <c r="F79" s="30" t="n">
        <v>2.1</v>
      </c>
      <c r="G79" s="30" t="s">
        <v>975</v>
      </c>
      <c r="H79" s="30" t="s">
        <v>240</v>
      </c>
      <c r="I79" s="30" t="s">
        <v>976</v>
      </c>
      <c r="J79" s="30" t="s">
        <v>347</v>
      </c>
      <c r="K79" s="30" t="s">
        <v>977</v>
      </c>
      <c r="L79" s="30" t="s">
        <v>183</v>
      </c>
      <c r="M79" s="30" t="s">
        <v>978</v>
      </c>
      <c r="R79" s="30" t="s">
        <v>979</v>
      </c>
    </row>
    <row r="80" customFormat="false" ht="53.7" hidden="false" customHeight="false" outlineLevel="0" collapsed="false">
      <c r="A80" s="28" t="s">
        <v>349</v>
      </c>
      <c r="B80" s="30" t="s">
        <v>906</v>
      </c>
      <c r="C80" s="30" t="s">
        <v>69</v>
      </c>
      <c r="D80" s="30" t="s">
        <v>70</v>
      </c>
      <c r="E80" s="30" t="n">
        <v>46.0401</v>
      </c>
      <c r="F80" s="30" t="s">
        <v>350</v>
      </c>
      <c r="G80" s="30" t="s">
        <v>980</v>
      </c>
      <c r="H80" s="30" t="s">
        <v>351</v>
      </c>
      <c r="I80" s="30" t="s">
        <v>981</v>
      </c>
      <c r="J80" s="30" t="s">
        <v>352</v>
      </c>
      <c r="K80" s="30" t="s">
        <v>982</v>
      </c>
      <c r="L80" s="30" t="s">
        <v>353</v>
      </c>
      <c r="M80" s="30" t="s">
        <v>983</v>
      </c>
      <c r="R80" s="30" t="s">
        <v>984</v>
      </c>
    </row>
    <row r="81" customFormat="false" ht="43.25" hidden="false" customHeight="false" outlineLevel="0" collapsed="false">
      <c r="A81" s="28" t="s">
        <v>355</v>
      </c>
      <c r="B81" s="30" t="s">
        <v>149</v>
      </c>
      <c r="C81" s="30" t="s">
        <v>985</v>
      </c>
      <c r="H81" s="30" t="s">
        <v>356</v>
      </c>
      <c r="I81" s="30" t="s">
        <v>986</v>
      </c>
      <c r="J81" s="30" t="s">
        <v>357</v>
      </c>
      <c r="K81" s="30" t="s">
        <v>987</v>
      </c>
      <c r="L81" s="30" t="s">
        <v>353</v>
      </c>
      <c r="M81" s="30" t="s">
        <v>988</v>
      </c>
      <c r="R81" s="30" t="s">
        <v>989</v>
      </c>
    </row>
    <row r="82" customFormat="false" ht="43.25" hidden="false" customHeight="false" outlineLevel="0" collapsed="false">
      <c r="A82" s="28" t="s">
        <v>359</v>
      </c>
      <c r="B82" s="30" t="s">
        <v>149</v>
      </c>
      <c r="C82" s="30" t="s">
        <v>985</v>
      </c>
      <c r="H82" s="30" t="s">
        <v>360</v>
      </c>
      <c r="I82" s="30" t="s">
        <v>990</v>
      </c>
      <c r="J82" s="30" t="s">
        <v>361</v>
      </c>
      <c r="K82" s="30" t="s">
        <v>991</v>
      </c>
      <c r="L82" s="30" t="s">
        <v>362</v>
      </c>
      <c r="M82" s="30" t="s">
        <v>992</v>
      </c>
      <c r="R82" s="30" t="s">
        <v>993</v>
      </c>
    </row>
    <row r="83" customFormat="false" ht="43.25" hidden="false" customHeight="false" outlineLevel="0" collapsed="false">
      <c r="A83" s="28" t="s">
        <v>364</v>
      </c>
      <c r="B83" s="30" t="s">
        <v>156</v>
      </c>
      <c r="C83" s="30" t="s">
        <v>985</v>
      </c>
      <c r="H83" s="30" t="s">
        <v>365</v>
      </c>
      <c r="I83" s="30" t="s">
        <v>994</v>
      </c>
      <c r="J83" s="30" t="s">
        <v>366</v>
      </c>
      <c r="K83" s="30" t="s">
        <v>995</v>
      </c>
      <c r="L83" s="30" t="s">
        <v>190</v>
      </c>
      <c r="M83" s="30" t="s">
        <v>996</v>
      </c>
      <c r="R83" s="30" t="s">
        <v>997</v>
      </c>
    </row>
    <row r="84" customFormat="false" ht="53.7" hidden="false" customHeight="false" outlineLevel="0" collapsed="false">
      <c r="A84" s="28" t="s">
        <v>368</v>
      </c>
      <c r="B84" s="30" t="s">
        <v>156</v>
      </c>
      <c r="C84" s="30" t="s">
        <v>985</v>
      </c>
      <c r="H84" s="30" t="s">
        <v>369</v>
      </c>
      <c r="I84" s="30" t="s">
        <v>998</v>
      </c>
      <c r="J84" s="30" t="s">
        <v>370</v>
      </c>
      <c r="K84" s="30" t="s">
        <v>999</v>
      </c>
      <c r="L84" s="30" t="s">
        <v>161</v>
      </c>
      <c r="M84" s="30" t="s">
        <v>1000</v>
      </c>
      <c r="R84" s="30" t="s">
        <v>1001</v>
      </c>
    </row>
    <row r="85" customFormat="false" ht="43.25" hidden="false" customHeight="false" outlineLevel="0" collapsed="false">
      <c r="A85" s="28" t="s">
        <v>372</v>
      </c>
      <c r="B85" s="30" t="s">
        <v>171</v>
      </c>
      <c r="C85" s="30" t="s">
        <v>985</v>
      </c>
      <c r="H85" s="30" t="s">
        <v>373</v>
      </c>
      <c r="I85" s="30" t="s">
        <v>1002</v>
      </c>
      <c r="J85" s="30" t="s">
        <v>374</v>
      </c>
      <c r="K85" s="30" t="s">
        <v>1003</v>
      </c>
      <c r="L85" s="30" t="s">
        <v>375</v>
      </c>
      <c r="M85" s="30" t="s">
        <v>1004</v>
      </c>
      <c r="R85" s="30" t="s">
        <v>1005</v>
      </c>
    </row>
    <row r="86" customFormat="false" ht="53.7" hidden="false" customHeight="false" outlineLevel="0" collapsed="false">
      <c r="A86" s="28" t="s">
        <v>377</v>
      </c>
      <c r="B86" s="30" t="s">
        <v>171</v>
      </c>
      <c r="C86" s="30" t="s">
        <v>985</v>
      </c>
      <c r="H86" s="30" t="s">
        <v>378</v>
      </c>
      <c r="I86" s="30" t="s">
        <v>1006</v>
      </c>
      <c r="J86" s="30" t="s">
        <v>379</v>
      </c>
      <c r="K86" s="30" t="s">
        <v>1007</v>
      </c>
      <c r="L86" s="30" t="s">
        <v>153</v>
      </c>
      <c r="M86" s="30" t="s">
        <v>1008</v>
      </c>
      <c r="R86" s="30" t="s">
        <v>1009</v>
      </c>
    </row>
    <row r="87" customFormat="false" ht="43.25" hidden="false" customHeight="false" outlineLevel="0" collapsed="false">
      <c r="A87" s="28" t="s">
        <v>381</v>
      </c>
      <c r="B87" s="30" t="s">
        <v>186</v>
      </c>
      <c r="C87" s="30" t="s">
        <v>985</v>
      </c>
      <c r="H87" s="30" t="s">
        <v>382</v>
      </c>
      <c r="I87" s="30" t="s">
        <v>1010</v>
      </c>
      <c r="J87" s="30" t="s">
        <v>383</v>
      </c>
      <c r="K87" s="30" t="s">
        <v>1011</v>
      </c>
      <c r="L87" s="30" t="s">
        <v>190</v>
      </c>
      <c r="M87" s="30" t="s">
        <v>1012</v>
      </c>
      <c r="R87" s="30" t="s">
        <v>1013</v>
      </c>
    </row>
    <row r="88" customFormat="false" ht="43.25" hidden="false" customHeight="false" outlineLevel="0" collapsed="false">
      <c r="A88" s="28" t="s">
        <v>385</v>
      </c>
      <c r="B88" s="30" t="s">
        <v>186</v>
      </c>
      <c r="C88" s="30" t="s">
        <v>985</v>
      </c>
      <c r="H88" s="30" t="s">
        <v>386</v>
      </c>
      <c r="I88" s="30" t="s">
        <v>1014</v>
      </c>
      <c r="J88" s="30" t="s">
        <v>387</v>
      </c>
      <c r="K88" s="30" t="s">
        <v>1015</v>
      </c>
      <c r="L88" s="30" t="s">
        <v>196</v>
      </c>
      <c r="M88" s="30" t="s">
        <v>1016</v>
      </c>
      <c r="R88" s="30" t="s">
        <v>1017</v>
      </c>
    </row>
    <row r="89" customFormat="false" ht="43.25" hidden="false" customHeight="false" outlineLevel="0" collapsed="false">
      <c r="A89" s="28" t="s">
        <v>389</v>
      </c>
      <c r="B89" s="30" t="s">
        <v>199</v>
      </c>
      <c r="C89" s="30" t="s">
        <v>985</v>
      </c>
      <c r="H89" s="30" t="s">
        <v>390</v>
      </c>
      <c r="I89" s="30" t="s">
        <v>1018</v>
      </c>
      <c r="J89" s="30" t="s">
        <v>347</v>
      </c>
      <c r="K89" s="30" t="s">
        <v>1019</v>
      </c>
      <c r="L89" s="30" t="s">
        <v>190</v>
      </c>
      <c r="M89" s="30" t="s">
        <v>1020</v>
      </c>
      <c r="R89" s="30" t="s">
        <v>1021</v>
      </c>
    </row>
    <row r="90" customFormat="false" ht="53.7" hidden="false" customHeight="false" outlineLevel="0" collapsed="false">
      <c r="A90" s="28" t="s">
        <v>392</v>
      </c>
      <c r="B90" s="30" t="s">
        <v>199</v>
      </c>
      <c r="C90" s="30" t="s">
        <v>985</v>
      </c>
      <c r="H90" s="30" t="s">
        <v>393</v>
      </c>
      <c r="I90" s="30" t="s">
        <v>1022</v>
      </c>
      <c r="J90" s="30" t="s">
        <v>383</v>
      </c>
      <c r="K90" s="30" t="s">
        <v>1023</v>
      </c>
      <c r="L90" s="30" t="s">
        <v>190</v>
      </c>
      <c r="M90" s="30" t="s">
        <v>1024</v>
      </c>
      <c r="R90" s="30" t="s">
        <v>1025</v>
      </c>
    </row>
    <row r="92" customFormat="false" ht="22.35" hidden="false" customHeight="false" outlineLevel="0" collapsed="false">
      <c r="A92" s="28" t="s">
        <v>1026</v>
      </c>
    </row>
    <row r="93" customFormat="false" ht="53.7" hidden="false" customHeight="false" outlineLevel="0" collapsed="false">
      <c r="A93" s="28" t="s">
        <v>395</v>
      </c>
      <c r="B93" s="30" t="s">
        <v>906</v>
      </c>
      <c r="C93" s="30" t="s">
        <v>78</v>
      </c>
      <c r="D93" s="30" t="s">
        <v>79</v>
      </c>
      <c r="E93" s="30" t="n">
        <v>15.0616</v>
      </c>
      <c r="F93" s="30" t="s">
        <v>396</v>
      </c>
      <c r="G93" s="30" t="s">
        <v>1027</v>
      </c>
      <c r="H93" s="30" t="s">
        <v>397</v>
      </c>
      <c r="I93" s="30" t="s">
        <v>1028</v>
      </c>
      <c r="J93" s="30" t="s">
        <v>398</v>
      </c>
      <c r="K93" s="30" t="s">
        <v>1029</v>
      </c>
      <c r="L93" s="30" t="s">
        <v>399</v>
      </c>
      <c r="M93" s="30" t="s">
        <v>1030</v>
      </c>
      <c r="Q93" s="30" t="s">
        <v>1031</v>
      </c>
    </row>
    <row r="94" customFormat="false" ht="53.7" hidden="false" customHeight="false" outlineLevel="0" collapsed="false">
      <c r="A94" s="28" t="s">
        <v>401</v>
      </c>
      <c r="B94" s="30" t="s">
        <v>906</v>
      </c>
      <c r="C94" s="30" t="s">
        <v>78</v>
      </c>
      <c r="D94" s="30" t="s">
        <v>79</v>
      </c>
      <c r="E94" s="30" t="n">
        <v>15.0616</v>
      </c>
      <c r="F94" s="30" t="n">
        <v>4.4</v>
      </c>
      <c r="G94" s="30" t="s">
        <v>1032</v>
      </c>
      <c r="H94" s="30" t="s">
        <v>403</v>
      </c>
      <c r="I94" s="30" t="s">
        <v>1033</v>
      </c>
      <c r="J94" s="30" t="s">
        <v>404</v>
      </c>
      <c r="K94" s="30" t="s">
        <v>1034</v>
      </c>
      <c r="L94" s="30" t="s">
        <v>399</v>
      </c>
      <c r="M94" s="30" t="s">
        <v>1035</v>
      </c>
      <c r="Q94" s="30" t="s">
        <v>1036</v>
      </c>
    </row>
    <row r="95" customFormat="false" ht="74.6" hidden="false" customHeight="false" outlineLevel="0" collapsed="false">
      <c r="A95" s="28" t="s">
        <v>406</v>
      </c>
      <c r="B95" s="30" t="s">
        <v>406</v>
      </c>
      <c r="C95" s="30" t="s">
        <v>78</v>
      </c>
      <c r="H95" s="30" t="s">
        <v>213</v>
      </c>
      <c r="I95" s="30" t="s">
        <v>1037</v>
      </c>
      <c r="J95" s="30" t="s">
        <v>404</v>
      </c>
      <c r="K95" s="30" t="s">
        <v>1038</v>
      </c>
      <c r="L95" s="30" t="s">
        <v>399</v>
      </c>
      <c r="M95" s="30" t="s">
        <v>1039</v>
      </c>
      <c r="Q95" s="30" t="s">
        <v>1040</v>
      </c>
    </row>
    <row r="96" customFormat="false" ht="43.25" hidden="false" customHeight="false" outlineLevel="0" collapsed="false">
      <c r="A96" s="28" t="s">
        <v>408</v>
      </c>
      <c r="B96" s="30" t="s">
        <v>149</v>
      </c>
      <c r="C96" s="30" t="s">
        <v>78</v>
      </c>
      <c r="H96" s="30" t="s">
        <v>409</v>
      </c>
      <c r="I96" s="30" t="s">
        <v>1041</v>
      </c>
      <c r="J96" s="30" t="s">
        <v>410</v>
      </c>
      <c r="K96" s="30" t="s">
        <v>1042</v>
      </c>
      <c r="L96" s="30" t="s">
        <v>265</v>
      </c>
      <c r="M96" s="30" t="s">
        <v>1043</v>
      </c>
      <c r="Q96" s="30" t="s">
        <v>1044</v>
      </c>
    </row>
    <row r="97" customFormat="false" ht="43.25" hidden="false" customHeight="false" outlineLevel="0" collapsed="false">
      <c r="A97" s="28" t="s">
        <v>412</v>
      </c>
      <c r="B97" s="30" t="s">
        <v>149</v>
      </c>
      <c r="C97" s="30" t="s">
        <v>78</v>
      </c>
      <c r="H97" s="30" t="s">
        <v>413</v>
      </c>
      <c r="I97" s="30" t="s">
        <v>1045</v>
      </c>
      <c r="J97" s="30" t="s">
        <v>414</v>
      </c>
      <c r="K97" s="30" t="s">
        <v>1046</v>
      </c>
      <c r="L97" s="30" t="s">
        <v>183</v>
      </c>
      <c r="M97" s="30" t="s">
        <v>1047</v>
      </c>
      <c r="Q97" s="30" t="s">
        <v>1048</v>
      </c>
    </row>
    <row r="98" customFormat="false" ht="43.25" hidden="false" customHeight="false" outlineLevel="0" collapsed="false">
      <c r="A98" s="28" t="s">
        <v>416</v>
      </c>
      <c r="B98" s="30" t="s">
        <v>156</v>
      </c>
      <c r="C98" s="30" t="s">
        <v>78</v>
      </c>
      <c r="H98" s="30" t="s">
        <v>417</v>
      </c>
      <c r="I98" s="30" t="s">
        <v>1049</v>
      </c>
      <c r="J98" s="30" t="s">
        <v>418</v>
      </c>
      <c r="K98" s="30" t="s">
        <v>1050</v>
      </c>
      <c r="L98" s="30" t="s">
        <v>161</v>
      </c>
      <c r="M98" s="30" t="s">
        <v>1051</v>
      </c>
      <c r="Q98" s="30" t="s">
        <v>1052</v>
      </c>
    </row>
    <row r="99" customFormat="false" ht="43.25" hidden="false" customHeight="false" outlineLevel="0" collapsed="false">
      <c r="A99" s="28" t="s">
        <v>420</v>
      </c>
      <c r="B99" s="30" t="s">
        <v>156</v>
      </c>
      <c r="C99" s="30" t="s">
        <v>78</v>
      </c>
      <c r="H99" s="30" t="s">
        <v>332</v>
      </c>
      <c r="I99" s="30" t="s">
        <v>1053</v>
      </c>
      <c r="J99" s="30" t="s">
        <v>421</v>
      </c>
      <c r="K99" s="30" t="s">
        <v>1054</v>
      </c>
      <c r="L99" s="30" t="s">
        <v>161</v>
      </c>
      <c r="M99" s="30" t="s">
        <v>1055</v>
      </c>
      <c r="Q99" s="30" t="s">
        <v>1056</v>
      </c>
    </row>
    <row r="100" customFormat="false" ht="43.25" hidden="false" customHeight="false" outlineLevel="0" collapsed="false">
      <c r="A100" s="28" t="s">
        <v>423</v>
      </c>
      <c r="B100" s="30" t="s">
        <v>171</v>
      </c>
      <c r="C100" s="30" t="s">
        <v>78</v>
      </c>
      <c r="H100" s="30" t="s">
        <v>373</v>
      </c>
      <c r="I100" s="30" t="s">
        <v>1057</v>
      </c>
      <c r="J100" s="30" t="s">
        <v>424</v>
      </c>
      <c r="K100" s="30" t="s">
        <v>1058</v>
      </c>
      <c r="L100" s="30" t="s">
        <v>375</v>
      </c>
      <c r="M100" s="30" t="s">
        <v>1059</v>
      </c>
      <c r="Q100" s="30" t="s">
        <v>1060</v>
      </c>
    </row>
    <row r="101" customFormat="false" ht="43.25" hidden="false" customHeight="false" outlineLevel="0" collapsed="false">
      <c r="A101" s="28" t="s">
        <v>426</v>
      </c>
      <c r="B101" s="30" t="s">
        <v>171</v>
      </c>
      <c r="C101" s="30" t="s">
        <v>78</v>
      </c>
      <c r="H101" s="30" t="s">
        <v>373</v>
      </c>
      <c r="I101" s="30" t="s">
        <v>1061</v>
      </c>
      <c r="J101" s="30" t="s">
        <v>427</v>
      </c>
      <c r="K101" s="30" t="s">
        <v>1062</v>
      </c>
      <c r="L101" s="30" t="s">
        <v>183</v>
      </c>
      <c r="M101" s="30" t="s">
        <v>1063</v>
      </c>
      <c r="Q101" s="30" t="s">
        <v>1064</v>
      </c>
    </row>
    <row r="102" customFormat="false" ht="43.25" hidden="false" customHeight="false" outlineLevel="0" collapsed="false">
      <c r="A102" s="28" t="s">
        <v>429</v>
      </c>
      <c r="B102" s="30" t="s">
        <v>186</v>
      </c>
      <c r="C102" s="30" t="s">
        <v>78</v>
      </c>
      <c r="H102" s="30" t="s">
        <v>386</v>
      </c>
      <c r="I102" s="30" t="s">
        <v>1065</v>
      </c>
      <c r="J102" s="30" t="s">
        <v>430</v>
      </c>
      <c r="K102" s="30" t="s">
        <v>1066</v>
      </c>
      <c r="L102" s="30" t="s">
        <v>196</v>
      </c>
      <c r="M102" s="30" t="s">
        <v>1067</v>
      </c>
      <c r="Q102" s="30" t="s">
        <v>1068</v>
      </c>
    </row>
    <row r="103" customFormat="false" ht="43.25" hidden="false" customHeight="false" outlineLevel="0" collapsed="false">
      <c r="A103" s="28" t="s">
        <v>432</v>
      </c>
      <c r="B103" s="30" t="s">
        <v>186</v>
      </c>
      <c r="C103" s="30" t="s">
        <v>78</v>
      </c>
      <c r="H103" s="30" t="s">
        <v>433</v>
      </c>
      <c r="I103" s="30" t="s">
        <v>1069</v>
      </c>
      <c r="J103" s="30" t="s">
        <v>434</v>
      </c>
      <c r="K103" s="30" t="s">
        <v>1070</v>
      </c>
      <c r="L103" s="30" t="s">
        <v>215</v>
      </c>
      <c r="M103" s="30" t="s">
        <v>1071</v>
      </c>
      <c r="Q103" s="30" t="s">
        <v>1072</v>
      </c>
    </row>
    <row r="104" customFormat="false" ht="43.25" hidden="false" customHeight="false" outlineLevel="0" collapsed="false">
      <c r="A104" s="28" t="s">
        <v>436</v>
      </c>
      <c r="B104" s="30" t="s">
        <v>199</v>
      </c>
      <c r="C104" s="30" t="s">
        <v>78</v>
      </c>
      <c r="H104" s="30" t="s">
        <v>437</v>
      </c>
      <c r="I104" s="30" t="s">
        <v>1073</v>
      </c>
      <c r="J104" s="30" t="s">
        <v>438</v>
      </c>
      <c r="K104" s="30" t="s">
        <v>1074</v>
      </c>
      <c r="L104" s="30" t="s">
        <v>399</v>
      </c>
      <c r="M104" s="30" t="s">
        <v>1075</v>
      </c>
      <c r="Q104" s="30" t="s">
        <v>1076</v>
      </c>
    </row>
    <row r="105" customFormat="false" ht="43.25" hidden="false" customHeight="false" outlineLevel="0" collapsed="false">
      <c r="A105" s="28" t="s">
        <v>440</v>
      </c>
      <c r="B105" s="30" t="s">
        <v>199</v>
      </c>
      <c r="C105" s="30" t="s">
        <v>78</v>
      </c>
      <c r="H105" s="30" t="s">
        <v>441</v>
      </c>
      <c r="I105" s="30" t="s">
        <v>1077</v>
      </c>
      <c r="J105" s="30" t="s">
        <v>404</v>
      </c>
      <c r="K105" s="30" t="s">
        <v>1078</v>
      </c>
      <c r="L105" s="30" t="s">
        <v>399</v>
      </c>
      <c r="M105" s="30" t="s">
        <v>1079</v>
      </c>
      <c r="Q105" s="30" t="s">
        <v>1080</v>
      </c>
    </row>
    <row r="107" customFormat="false" ht="22.35" hidden="false" customHeight="false" outlineLevel="0" collapsed="false">
      <c r="A107" s="28" t="s">
        <v>1081</v>
      </c>
      <c r="C107" s="30" t="s">
        <v>1082</v>
      </c>
    </row>
    <row r="108" customFormat="false" ht="64.15" hidden="false" customHeight="false" outlineLevel="0" collapsed="false">
      <c r="A108" s="28" t="s">
        <v>443</v>
      </c>
      <c r="B108" s="30" t="s">
        <v>906</v>
      </c>
      <c r="F108" s="30" t="s">
        <v>444</v>
      </c>
      <c r="G108" s="30" t="s">
        <v>1083</v>
      </c>
      <c r="H108" s="30" t="s">
        <v>397</v>
      </c>
      <c r="I108" s="30" t="s">
        <v>1084</v>
      </c>
      <c r="J108" s="30" t="s">
        <v>445</v>
      </c>
      <c r="K108" s="30" t="s">
        <v>1085</v>
      </c>
      <c r="L108" s="30" t="s">
        <v>399</v>
      </c>
      <c r="M108" s="30" t="s">
        <v>1086</v>
      </c>
      <c r="S108" s="30" t="s">
        <v>1087</v>
      </c>
    </row>
    <row r="109" customFormat="false" ht="53.7" hidden="false" customHeight="false" outlineLevel="0" collapsed="false">
      <c r="A109" s="28" t="s">
        <v>447</v>
      </c>
      <c r="B109" s="30" t="s">
        <v>906</v>
      </c>
      <c r="C109" s="30" t="s">
        <v>82</v>
      </c>
      <c r="D109" s="30" t="s">
        <v>83</v>
      </c>
      <c r="E109" s="30" t="n">
        <v>14.3601</v>
      </c>
      <c r="F109" s="30" t="s">
        <v>448</v>
      </c>
      <c r="G109" s="30" t="s">
        <v>1088</v>
      </c>
      <c r="H109" s="30" t="s">
        <v>449</v>
      </c>
      <c r="I109" s="30" t="s">
        <v>1089</v>
      </c>
      <c r="J109" s="30" t="s">
        <v>450</v>
      </c>
      <c r="K109" s="30" t="s">
        <v>1090</v>
      </c>
      <c r="L109" s="30" t="s">
        <v>161</v>
      </c>
      <c r="M109" s="30" t="s">
        <v>1091</v>
      </c>
      <c r="S109" s="30" t="s">
        <v>1092</v>
      </c>
    </row>
    <row r="110" customFormat="false" ht="53.7" hidden="false" customHeight="false" outlineLevel="0" collapsed="false">
      <c r="A110" s="28" t="s">
        <v>452</v>
      </c>
      <c r="B110" s="30" t="s">
        <v>906</v>
      </c>
      <c r="C110" s="30" t="s">
        <v>82</v>
      </c>
      <c r="D110" s="30" t="s">
        <v>83</v>
      </c>
      <c r="E110" s="30" t="n">
        <v>14.3601</v>
      </c>
      <c r="F110" s="30" t="n">
        <v>9.7</v>
      </c>
      <c r="G110" s="30" t="s">
        <v>1093</v>
      </c>
      <c r="H110" s="30" t="s">
        <v>166</v>
      </c>
      <c r="I110" s="30" t="s">
        <v>1094</v>
      </c>
      <c r="J110" s="30" t="s">
        <v>454</v>
      </c>
      <c r="K110" s="30" t="s">
        <v>1095</v>
      </c>
      <c r="L110" s="30" t="s">
        <v>168</v>
      </c>
      <c r="M110" s="30" t="s">
        <v>1096</v>
      </c>
      <c r="S110" s="30" t="s">
        <v>1097</v>
      </c>
    </row>
    <row r="111" customFormat="false" ht="53.7" hidden="false" customHeight="false" outlineLevel="0" collapsed="false">
      <c r="A111" s="28" t="s">
        <v>456</v>
      </c>
      <c r="B111" s="30" t="s">
        <v>906</v>
      </c>
      <c r="C111" s="30" t="s">
        <v>82</v>
      </c>
      <c r="D111" s="30" t="s">
        <v>83</v>
      </c>
      <c r="E111" s="30" t="n">
        <v>14.3601</v>
      </c>
      <c r="F111" s="30" t="s">
        <v>457</v>
      </c>
      <c r="G111" s="30" t="s">
        <v>1098</v>
      </c>
      <c r="H111" s="30" t="s">
        <v>123</v>
      </c>
      <c r="I111" s="30" t="s">
        <v>1099</v>
      </c>
      <c r="J111" s="30" t="s">
        <v>201</v>
      </c>
      <c r="K111" s="30" t="s">
        <v>1100</v>
      </c>
      <c r="L111" s="30" t="s">
        <v>202</v>
      </c>
      <c r="M111" s="30" t="s">
        <v>1101</v>
      </c>
      <c r="S111" s="30" t="s">
        <v>1102</v>
      </c>
    </row>
    <row r="112" customFormat="false" ht="43.25" hidden="false" customHeight="false" outlineLevel="0" collapsed="false">
      <c r="A112" s="28" t="s">
        <v>459</v>
      </c>
      <c r="B112" s="30" t="s">
        <v>906</v>
      </c>
      <c r="C112" s="30" t="s">
        <v>82</v>
      </c>
      <c r="D112" s="30" t="s">
        <v>83</v>
      </c>
      <c r="E112" s="30" t="n">
        <v>14.3601</v>
      </c>
      <c r="F112" s="30" t="s">
        <v>460</v>
      </c>
      <c r="G112" s="30" t="s">
        <v>1103</v>
      </c>
      <c r="H112" s="30" t="s">
        <v>136</v>
      </c>
      <c r="I112" s="30" t="s">
        <v>1104</v>
      </c>
      <c r="J112" s="30" t="s">
        <v>461</v>
      </c>
      <c r="K112" s="30" t="s">
        <v>1105</v>
      </c>
      <c r="L112" s="30" t="s">
        <v>161</v>
      </c>
      <c r="M112" s="30" t="s">
        <v>1106</v>
      </c>
      <c r="S112" s="30" t="s">
        <v>1107</v>
      </c>
    </row>
    <row r="113" customFormat="false" ht="43.25" hidden="false" customHeight="false" outlineLevel="0" collapsed="false">
      <c r="A113" s="28" t="s">
        <v>463</v>
      </c>
      <c r="B113" s="30" t="s">
        <v>149</v>
      </c>
      <c r="C113" s="30" t="s">
        <v>1108</v>
      </c>
      <c r="H113" s="30" t="s">
        <v>464</v>
      </c>
      <c r="I113" s="30" t="s">
        <v>1109</v>
      </c>
      <c r="J113" s="30" t="s">
        <v>465</v>
      </c>
      <c r="K113" s="30" t="s">
        <v>1110</v>
      </c>
      <c r="L113" s="30" t="s">
        <v>399</v>
      </c>
      <c r="M113" s="30" t="s">
        <v>1111</v>
      </c>
      <c r="S113" s="30" t="s">
        <v>1112</v>
      </c>
    </row>
    <row r="114" customFormat="false" ht="43.25" hidden="false" customHeight="false" outlineLevel="0" collapsed="false">
      <c r="A114" s="28" t="s">
        <v>467</v>
      </c>
      <c r="B114" s="30" t="s">
        <v>149</v>
      </c>
      <c r="C114" s="30" t="s">
        <v>1108</v>
      </c>
      <c r="H114" s="30" t="s">
        <v>441</v>
      </c>
      <c r="I114" s="30" t="s">
        <v>1113</v>
      </c>
      <c r="J114" s="30" t="s">
        <v>207</v>
      </c>
      <c r="K114" s="30" t="s">
        <v>1114</v>
      </c>
      <c r="L114" s="30" t="s">
        <v>362</v>
      </c>
      <c r="M114" s="30" t="s">
        <v>1115</v>
      </c>
      <c r="S114" s="30" t="s">
        <v>1116</v>
      </c>
    </row>
    <row r="115" customFormat="false" ht="43.25" hidden="false" customHeight="false" outlineLevel="0" collapsed="false">
      <c r="A115" s="28" t="s">
        <v>469</v>
      </c>
      <c r="B115" s="30" t="s">
        <v>156</v>
      </c>
      <c r="C115" s="30" t="s">
        <v>1108</v>
      </c>
      <c r="H115" s="30" t="s">
        <v>470</v>
      </c>
      <c r="I115" s="30" t="s">
        <v>1117</v>
      </c>
      <c r="J115" s="30" t="s">
        <v>471</v>
      </c>
      <c r="K115" s="30" t="s">
        <v>1118</v>
      </c>
      <c r="L115" s="30" t="s">
        <v>161</v>
      </c>
      <c r="M115" s="30" t="s">
        <v>1119</v>
      </c>
      <c r="S115" s="30" t="s">
        <v>1120</v>
      </c>
    </row>
    <row r="116" customFormat="false" ht="43.25" hidden="false" customHeight="false" outlineLevel="0" collapsed="false">
      <c r="A116" s="28" t="s">
        <v>473</v>
      </c>
      <c r="B116" s="30" t="s">
        <v>156</v>
      </c>
      <c r="C116" s="30" t="s">
        <v>1108</v>
      </c>
      <c r="H116" s="30" t="s">
        <v>336</v>
      </c>
      <c r="I116" s="30" t="s">
        <v>1121</v>
      </c>
      <c r="J116" s="30" t="s">
        <v>474</v>
      </c>
      <c r="K116" s="30" t="s">
        <v>1122</v>
      </c>
      <c r="L116" s="30" t="s">
        <v>161</v>
      </c>
      <c r="M116" s="30" t="s">
        <v>1123</v>
      </c>
      <c r="S116" s="30" t="s">
        <v>1124</v>
      </c>
    </row>
    <row r="117" customFormat="false" ht="53.7" hidden="false" customHeight="false" outlineLevel="0" collapsed="false">
      <c r="A117" s="28" t="s">
        <v>476</v>
      </c>
      <c r="B117" s="30" t="s">
        <v>171</v>
      </c>
      <c r="C117" s="30" t="s">
        <v>1108</v>
      </c>
      <c r="H117" s="30" t="s">
        <v>373</v>
      </c>
      <c r="I117" s="30" t="s">
        <v>1125</v>
      </c>
      <c r="J117" s="30" t="s">
        <v>477</v>
      </c>
      <c r="K117" s="30" t="s">
        <v>1126</v>
      </c>
      <c r="L117" s="30" t="s">
        <v>375</v>
      </c>
      <c r="M117" s="30" t="s">
        <v>1127</v>
      </c>
      <c r="S117" s="30" t="s">
        <v>1128</v>
      </c>
    </row>
    <row r="118" customFormat="false" ht="43.25" hidden="false" customHeight="false" outlineLevel="0" collapsed="false">
      <c r="A118" s="28" t="s">
        <v>479</v>
      </c>
      <c r="B118" s="30" t="s">
        <v>171</v>
      </c>
      <c r="C118" s="30" t="s">
        <v>1108</v>
      </c>
      <c r="H118" s="30" t="s">
        <v>480</v>
      </c>
      <c r="I118" s="30" t="s">
        <v>1129</v>
      </c>
      <c r="J118" s="30" t="s">
        <v>477</v>
      </c>
      <c r="K118" s="30" t="s">
        <v>1130</v>
      </c>
      <c r="L118" s="30" t="s">
        <v>375</v>
      </c>
      <c r="M118" s="30" t="s">
        <v>1131</v>
      </c>
      <c r="S118" s="30" t="s">
        <v>1132</v>
      </c>
    </row>
    <row r="119" customFormat="false" ht="43.25" hidden="false" customHeight="false" outlineLevel="0" collapsed="false">
      <c r="A119" s="28" t="s">
        <v>482</v>
      </c>
      <c r="B119" s="30" t="s">
        <v>186</v>
      </c>
      <c r="C119" s="30" t="s">
        <v>1108</v>
      </c>
      <c r="H119" s="30" t="s">
        <v>441</v>
      </c>
      <c r="I119" s="30" t="s">
        <v>1133</v>
      </c>
      <c r="J119" s="30" t="s">
        <v>264</v>
      </c>
      <c r="K119" s="30" t="s">
        <v>1134</v>
      </c>
      <c r="L119" s="30" t="s">
        <v>362</v>
      </c>
      <c r="M119" s="30" t="s">
        <v>1135</v>
      </c>
      <c r="S119" s="30" t="s">
        <v>1136</v>
      </c>
    </row>
    <row r="120" customFormat="false" ht="43.25" hidden="false" customHeight="false" outlineLevel="0" collapsed="false">
      <c r="A120" s="28" t="s">
        <v>484</v>
      </c>
      <c r="B120" s="30" t="s">
        <v>186</v>
      </c>
      <c r="C120" s="30" t="s">
        <v>1108</v>
      </c>
      <c r="H120" s="30" t="s">
        <v>485</v>
      </c>
      <c r="I120" s="30" t="s">
        <v>1137</v>
      </c>
      <c r="J120" s="30" t="s">
        <v>486</v>
      </c>
      <c r="K120" s="30" t="s">
        <v>1138</v>
      </c>
      <c r="L120" s="30" t="s">
        <v>362</v>
      </c>
      <c r="M120" s="30" t="s">
        <v>1139</v>
      </c>
      <c r="S120" s="30" t="s">
        <v>1140</v>
      </c>
    </row>
    <row r="121" customFormat="false" ht="43.25" hidden="false" customHeight="false" outlineLevel="0" collapsed="false">
      <c r="A121" s="28" t="s">
        <v>488</v>
      </c>
      <c r="B121" s="30" t="s">
        <v>199</v>
      </c>
      <c r="C121" s="30" t="s">
        <v>1108</v>
      </c>
      <c r="H121" s="30" t="s">
        <v>489</v>
      </c>
      <c r="I121" s="30" t="s">
        <v>1141</v>
      </c>
      <c r="J121" s="30" t="s">
        <v>490</v>
      </c>
      <c r="K121" s="30" t="s">
        <v>1142</v>
      </c>
      <c r="L121" s="30" t="s">
        <v>265</v>
      </c>
      <c r="M121" s="30" t="s">
        <v>1143</v>
      </c>
      <c r="S121" s="30" t="s">
        <v>1144</v>
      </c>
    </row>
    <row r="122" customFormat="false" ht="53.7" hidden="false" customHeight="false" outlineLevel="0" collapsed="false">
      <c r="A122" s="28" t="s">
        <v>492</v>
      </c>
      <c r="B122" s="30" t="s">
        <v>199</v>
      </c>
      <c r="C122" s="30" t="s">
        <v>1108</v>
      </c>
      <c r="H122" s="30" t="s">
        <v>493</v>
      </c>
      <c r="I122" s="30" t="s">
        <v>1145</v>
      </c>
      <c r="J122" s="30" t="s">
        <v>494</v>
      </c>
      <c r="K122" s="30" t="s">
        <v>1146</v>
      </c>
      <c r="L122" s="30" t="s">
        <v>168</v>
      </c>
      <c r="M122" s="30" t="s">
        <v>1147</v>
      </c>
      <c r="S122" s="30" t="s">
        <v>1148</v>
      </c>
    </row>
  </sheetData>
  <mergeCells count="82">
    <mergeCell ref="A5:A10"/>
    <mergeCell ref="H5:H10"/>
    <mergeCell ref="I5:I10"/>
    <mergeCell ref="J5:J10"/>
    <mergeCell ref="K5:K10"/>
    <mergeCell ref="L5:L10"/>
    <mergeCell ref="M5:M10"/>
    <mergeCell ref="O5:O10"/>
    <mergeCell ref="P5:P10"/>
    <mergeCell ref="Q5:Q10"/>
    <mergeCell ref="R5:R10"/>
    <mergeCell ref="S5:S10"/>
    <mergeCell ref="N7:N10"/>
    <mergeCell ref="A11:A13"/>
    <mergeCell ref="F11:F13"/>
    <mergeCell ref="G11:G13"/>
    <mergeCell ref="H11:H13"/>
    <mergeCell ref="I11:I13"/>
    <mergeCell ref="J11:J13"/>
    <mergeCell ref="K11:K13"/>
    <mergeCell ref="L11:L13"/>
    <mergeCell ref="M11:M13"/>
    <mergeCell ref="O11:O13"/>
    <mergeCell ref="P11:P13"/>
    <mergeCell ref="Q11:Q13"/>
    <mergeCell ref="R11:R13"/>
    <mergeCell ref="S11:S13"/>
    <mergeCell ref="A14:A16"/>
    <mergeCell ref="F14:F15"/>
    <mergeCell ref="G14:G15"/>
    <mergeCell ref="H14:H16"/>
    <mergeCell ref="I14:I16"/>
    <mergeCell ref="J14:J16"/>
    <mergeCell ref="K14:K16"/>
    <mergeCell ref="L14:L16"/>
    <mergeCell ref="M14:M16"/>
    <mergeCell ref="O14:O16"/>
    <mergeCell ref="P14:P16"/>
    <mergeCell ref="Q14:Q16"/>
    <mergeCell ref="R14:R16"/>
    <mergeCell ref="S14:S16"/>
    <mergeCell ref="A17:A21"/>
    <mergeCell ref="H17:H21"/>
    <mergeCell ref="I17:I21"/>
    <mergeCell ref="J17:J21"/>
    <mergeCell ref="K17:K21"/>
    <mergeCell ref="L17:L21"/>
    <mergeCell ref="M17:M21"/>
    <mergeCell ref="O17:O21"/>
    <mergeCell ref="P17:P21"/>
    <mergeCell ref="Q17:Q21"/>
    <mergeCell ref="R17:R21"/>
    <mergeCell ref="S17:S21"/>
    <mergeCell ref="N19:N21"/>
    <mergeCell ref="A22:A24"/>
    <mergeCell ref="F22:F24"/>
    <mergeCell ref="G22:G24"/>
    <mergeCell ref="H22:H24"/>
    <mergeCell ref="I22:I24"/>
    <mergeCell ref="J22:J24"/>
    <mergeCell ref="K22:K24"/>
    <mergeCell ref="L22:L24"/>
    <mergeCell ref="M22:M24"/>
    <mergeCell ref="O22:O24"/>
    <mergeCell ref="P22:P24"/>
    <mergeCell ref="Q22:Q24"/>
    <mergeCell ref="R22:R24"/>
    <mergeCell ref="S22:S24"/>
    <mergeCell ref="A25:A27"/>
    <mergeCell ref="H25:H27"/>
    <mergeCell ref="I25:I27"/>
    <mergeCell ref="J25:J27"/>
    <mergeCell ref="K25:K27"/>
    <mergeCell ref="L25:L27"/>
    <mergeCell ref="M25:M27"/>
    <mergeCell ref="O25:O27"/>
    <mergeCell ref="P25:P27"/>
    <mergeCell ref="Q25:Q27"/>
    <mergeCell ref="R25:R27"/>
    <mergeCell ref="S25:S27"/>
    <mergeCell ref="F26:F27"/>
    <mergeCell ref="G26:G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2026-10-17T18:01:59Z</dcterms:created>
  <dc:creator>openpyxl</dc:creator>
  <dc:description/>
  <dc:language>en-US</dc:language>
  <cp:lastModifiedBy/>
  <dcterms:modified xsi:type="dcterms:W3CDTF">2026-10-17T18:01:59Z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